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Traceability" sheetId="3" state="visible" r:id="rId5"/>
  </sheets>
  <definedNames>
    <definedName function="false" hidden="false" localSheetId="1" name="_xlnm.Print_Titles" vbProcedure="false">'Test Cases'!$4:$4</definedName>
    <definedName function="false" hidden="true" localSheetId="1" name="_xlnm._FilterDatabase" vbProcedure="false">'Test Cases'!$A$4:$M$42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<sst xmlns="http://schemas.openxmlformats.org/spreadsheetml/2006/main" count="601" uniqueCount="390">
  <si>
    <t xml:space="preserve">Test execution summary</t>
  </si>
  <si>
    <t xml:space="preserve">Prototype build tested on 16/10/2026. Counts are formulas over the Test Cases sheet and update if a status is changed.</t>
  </si>
  <si>
    <t xml:space="preserve">Status</t>
  </si>
  <si>
    <t xml:space="preserve">Count</t>
  </si>
  <si>
    <t xml:space="preserve">% of total</t>
  </si>
  <si>
    <t xml:space="preserve">Pass</t>
  </si>
  <si>
    <t xml:space="preserve">Fail</t>
  </si>
  <si>
    <t xml:space="preserve">Not Executed</t>
  </si>
  <si>
    <t xml:space="preserve">Total</t>
  </si>
  <si>
    <t xml:space="preserve">By test area</t>
  </si>
  <si>
    <t xml:space="preserve">Test area</t>
  </si>
  <si>
    <t xml:space="preserve">Successful booking</t>
  </si>
  <si>
    <t xml:space="preserve">Unavailable slot</t>
  </si>
  <si>
    <t xml:space="preserve">Double-booking prevention</t>
  </si>
  <si>
    <t xml:space="preserve">Invalid date/time</t>
  </si>
  <si>
    <t xml:space="preserve">Cancellation</t>
  </si>
  <si>
    <t xml:space="preserve">Rescheduling</t>
  </si>
  <si>
    <t xml:space="preserve">Login &amp; role-based access</t>
  </si>
  <si>
    <t xml:space="preserve">Admin appointment management</t>
  </si>
  <si>
    <t xml:space="preserve">Doctor availability</t>
  </si>
  <si>
    <t xml:space="preserve">Admin doctor management</t>
  </si>
  <si>
    <t xml:space="preserve">Admin reporting</t>
  </si>
  <si>
    <t xml:space="preserve">Registration validation</t>
  </si>
  <si>
    <t xml:space="preserve">Booking limits</t>
  </si>
  <si>
    <t xml:space="preserve">Responsive UI</t>
  </si>
  <si>
    <t xml:space="preserve">Notes</t>
  </si>
  <si>
    <t xml:space="preserve">• Scope: the eight areas required by the brief (TC-01 – TC-32) plus admin, validation, booking-limit and responsive edge cases (TC-33 – TC-38).</t>
  </si>
  <si>
    <t xml:space="preserve">• Environment: Chromium (Playwright), desktop 1280×860 and mobile 390×844, fresh browser storage per test case.</t>
  </si>
  <si>
    <t xml:space="preserve">• Business rules are also unit-tested in prototype/tests/rules.test.js (npm test).</t>
  </si>
  <si>
    <t xml:space="preserve">• Limitation: the prototype has no backend, so concurrency (TC-06) is simulated with an in-page demo control; production needs a server-side unique constraint (NFR-03).</t>
  </si>
  <si>
    <t xml:space="preserve">Hospital Appointment Booking System — Test Case Sheet</t>
  </si>
  <si>
    <t xml:space="preserve">Executed 16/10/2026 against the clickable prototype (prototype/dist) with the browser clock fixed at Wed 14 Oct 2026 08:00 (Europe/London) unless the preconditions say otherwise. Automated with Playwright: prototype/tests/e2e.mjs. Status column has a Pass / Fail / Not Executed drop-down.</t>
  </si>
  <si>
    <t xml:space="preserve">Test case ID</t>
  </si>
  <si>
    <t xml:space="preserve">Requirement / rule</t>
  </si>
  <si>
    <t xml:space="preserve">Priority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</si>
  <si>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</si>
  <si>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</si>
  <si>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</si>
  <si>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</si>
  <si>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results</t>
  </si>
  <si>
    <t xml:space="preserve">Actual results</t>
  </si>
  <si>
    <t xml:space="preserve">Test status</t>
  </si>
  <si>
    <t xml:space="preserve">Executed on</t>
  </si>
  <si>
    <t xml:space="preserve">Executed by</t>
  </si>
  <si>
    <t xml:space="preserve">TC-01</t>
  </si>
  <si>
    <t xml:space="preserve">FR-20, FR-22, BR-01</t>
  </si>
  <si>
    <t xml:space="preserve">High</t>
  </si>
  <si>
    <t xml:space="preserve">Logged-in patient books an open slot</t>
  </si>
  <si>
    <t xml:space="preserve">Alice is registered and logged in; Dr Grace Chen has an open slot on Mon 19 Oct 11:00.</t>
  </si>
  <si>
    <t xml:space="preserve">1. Open Find a doctor and select Dr Grace Chen
2. Select Mon 19 Oct and the 11:00am slot
3. Click Continue to book
4. Enter a reason and click Confirm booking
5. Open My appointments</t>
  </si>
  <si>
    <t xml:space="preserve">alice@demo.com / Patient@123; Doctor d7; 2026-10-19 11:00; Reason "Persistent cough"</t>
  </si>
  <si>
    <t xml:space="preserve">Confirmation page "Appointment confirmed" with reference APT-1013; the appointment is listed under Upcoming with status Booked.</t>
  </si>
  <si>
    <t xml:space="preserve">Confirmation shown with reference APT-1013; APT-1013 listed under Upcoming as Booked.</t>
  </si>
  <si>
    <t xml:space="preserve">16/10/2026</t>
  </si>
  <si>
    <t xml:space="preserve">Automated (Playwright)</t>
  </si>
  <si>
    <t xml:space="preserve">TC-02</t>
  </si>
  <si>
    <t xml:space="preserve">BR-01, FR-24</t>
  </si>
  <si>
    <t xml:space="preserve">Guest selects a slot, is asked to log in, and returns to complete the booking</t>
  </si>
  <si>
    <t xml:space="preserve">User is not logged in.</t>
  </si>
  <si>
    <t xml:space="preserve">1. Open Dr Grace Chen profile as a guest
2. Select Mon 19 Oct 11:00 and click Continue to book
3. Log in as Alice
4. Click Confirm booking</t>
  </si>
  <si>
    <t xml:space="preserve">alice@demo.com / Patient@123; d7; 2026-10-19 11:00</t>
  </si>
  <si>
    <t xml:space="preserve">Guest is redirected to Log in with a message; after login the Review and confirm page opens for the same slot; booking is confirmed.</t>
  </si>
  <si>
    <t xml:space="preserve">Redirected to login ("Log in as a patient to finish booking. You'll come straight …"); returned to the same slot after login; booking confirmed (APT-1013).</t>
  </si>
  <si>
    <t xml:space="preserve">TC-03</t>
  </si>
  <si>
    <t xml:space="preserve">FR-01, FR-03, FR-20</t>
  </si>
  <si>
    <t xml:space="preserve">New patient registers and books their first appointment</t>
  </si>
  <si>
    <t xml:space="preserve">Email test.patient@demo.com is not registered.</t>
  </si>
  <si>
    <t xml:space="preserve">1. Open Register and complete all fields
2. Click Create account
3. Book Dr Amelia Okafor, Tue 20 Oct 14:00</t>
  </si>
  <si>
    <t xml:space="preserve">Test Patient; test.patient@demo.com; 07700900555; 05/05/1990; Test1234</t>
  </si>
  <si>
    <t xml:space="preserve">Account created and patient dashboard opens with 0 upcoming; booking is confirmed and shown in Upcoming.</t>
  </si>
  <si>
    <t xml:space="preserve">Account created, dashboard showed "Hello Test. You have 0 upcoming appointments."; booking with Dr Okafor confirmed.</t>
  </si>
  <si>
    <t xml:space="preserve">TC-04</t>
  </si>
  <si>
    <t xml:space="preserve">BR-02, FR-14</t>
  </si>
  <si>
    <t xml:space="preserve">An already-booked slot is shown as unavailable and cannot be selected</t>
  </si>
  <si>
    <t xml:space="preserve">Ben has Dr Priya Raman on Fri 16 Oct 10:30.</t>
  </si>
  <si>
    <t xml:space="preserve">1. Log in as Alice
2. Open Dr Priya Raman, select Fri 16 Oct
3. Try to click 10:30am</t>
  </si>
  <si>
    <t xml:space="preserve">alice@demo.com; d1; 2026-10-16 10:30</t>
  </si>
  <si>
    <t xml:space="preserve">10:30am is struck through and disabled; clicking it does not select it; Continue to book stays disabled.</t>
  </si>
  <si>
    <t xml:space="preserve">10:30am shown as booked (struck through, disabled); click had no effect; Continue to book remained disabled.</t>
  </si>
  <si>
    <t xml:space="preserve">TC-05</t>
  </si>
  <si>
    <t xml:space="preserve">BR-02, FR-21</t>
  </si>
  <si>
    <t xml:space="preserve">Booking an occupied slot by opening the booking URL directly is rejected</t>
  </si>
  <si>
    <t xml:space="preserve">Alice logged in; d1 Fri 16 Oct 10:30 booked by Ben.</t>
  </si>
  <si>
    <t xml:space="preserve">1. Navigate to #/book/d1?date=2026-10-16&amp;time=10:30</t>
  </si>
  <si>
    <t xml:space="preserve">URL parameters date=2026-10-16, time=10:30</t>
  </si>
  <si>
    <t xml:space="preserve">Error "This slot is no longer available. Choose another time." [BR-02]; Confirm booking disabled.</t>
  </si>
  <si>
    <t xml:space="preserve">Error shown: "This slot is no longer available. Choose another time. Choose another time BR-02"; Confirm booking disabled.</t>
  </si>
  <si>
    <t xml:space="preserve">TC-06</t>
  </si>
  <si>
    <t xml:space="preserve">FR-21, NFR-03</t>
  </si>
  <si>
    <t xml:space="preserve">Slot is taken by another patient while the first patient is on the review page</t>
  </si>
  <si>
    <t xml:space="preserve">Alice on Review and confirm for d7 Mon 19 Oct 11:30.</t>
  </si>
  <si>
    <t xml:space="preserve">1. Select d7 Mon 19 Oct 11:30 and continue
2. Open Demo tools and click "Another patient books this slot"
3. Attempt to confirm</t>
  </si>
  <si>
    <t xml:space="preserve">d7; 2026-10-19 11:30</t>
  </si>
  <si>
    <t xml:space="preserve">Booking is blocked with "This slot is no longer available" and a link to choose another time; no appointment is created for Alice.</t>
  </si>
  <si>
    <t xml:space="preserve">Error shown: "This slot is no longer available. Choose another time. Choose another time BR-02"; Confirm disabled; Alice still has 2 upcoming appointments (none created).</t>
  </si>
  <si>
    <t xml:space="preserve">TC-07</t>
  </si>
  <si>
    <t xml:space="preserve">BR-11, FR-25</t>
  </si>
  <si>
    <t xml:space="preserve">Patient cannot book two appointments at the same date and time with different doctors</t>
  </si>
  <si>
    <t xml:space="preserve">Alice has APT-1001 with Dr Raman on Fri 16 Oct 10:00.</t>
  </si>
  <si>
    <t xml:space="preserve">1. Open Dr Tomasz Nowak
2. Select Fri 16 Oct 10:00 and continue</t>
  </si>
  <si>
    <t xml:space="preserve">d4; 2026-10-16 10:00</t>
  </si>
  <si>
    <t xml:space="preserve">Error "You already have an appointment at this time (APT-1001)." [BR-11]; Confirm disabled.</t>
  </si>
  <si>
    <t xml:space="preserve">Blocked: "You already have an appointment at this time (APT-1001). BR-11".</t>
  </si>
  <si>
    <t xml:space="preserve">TC-08</t>
  </si>
  <si>
    <t xml:space="preserve">BR-02, BR-03</t>
  </si>
  <si>
    <t xml:space="preserve">Once a slot is booked, a second patient cannot book the same doctor and time</t>
  </si>
  <si>
    <t xml:space="preserve">Dr Omar Haddad Mon 19 Oct 14:00 is open.</t>
  </si>
  <si>
    <t xml:space="preserve">1. Alice books d6 Mon 19 Oct 14:00
2. Log out; register a second patient
3. Open d6 profile on Mon 19 Oct
4. Open #/book/d6?date=2026-10-19&amp;time=14:00 directly</t>
  </si>
  <si>
    <t xml:space="preserve">alice@demo.com; second.patient@demo.com / Test1234</t>
  </si>
  <si>
    <t xml:space="preserve">Second patient sees 2:00pm as booked; direct booking shows BR-02 error; the doctor has only one appointment at that time.</t>
  </si>
  <si>
    <t xml:space="preserve">Slot shown booked to second patient; direct URL blocked ("This slot is no longer available. Choose another time. Choose another time BR-02"); exactly 1 booking at d6 14:00.</t>
  </si>
  <si>
    <t xml:space="preserve">TC-09</t>
  </si>
  <si>
    <t xml:space="preserve">BR-04, BR-09</t>
  </si>
  <si>
    <t xml:space="preserve">Booking a date/time in the past is rejected</t>
  </si>
  <si>
    <t xml:space="preserve">Alice logged in. Current time Wed 14 Oct 08:00.</t>
  </si>
  <si>
    <t xml:space="preserve">1. Open the profile: past dates are not shown and today's past slots are disabled
2. Navigate to #/book/d7?date=2026-10-13&amp;time=10:00</t>
  </si>
  <si>
    <t xml:space="preserve">date=2026-10-13, time=10:00</t>
  </si>
  <si>
    <t xml:space="preserve">Date strip starts today; error "This date and time is in the past. Choose a future slot." [BR-09]; Confirm disabled.</t>
  </si>
  <si>
    <t xml:space="preserve">Date strip starts on 2026-10-14; direct URL rejected: "This date and time is in the past. Choose a future slot. Choose another time BR-09".</t>
  </si>
  <si>
    <t xml:space="preserve">TC-10</t>
  </si>
  <si>
    <t xml:space="preserve">BR-09</t>
  </si>
  <si>
    <t xml:space="preserve">Medium</t>
  </si>
  <si>
    <t xml:space="preserve">Time not on a 30-minute boundary or outside 09:00–16:30 is rejected</t>
  </si>
  <si>
    <t xml:space="preserve">Alice logged in.</t>
  </si>
  <si>
    <t xml:space="preserve">1. Navigate to #/book/d7?date=2026-10-19&amp;time=10:15
2. Navigate to #/book/d7?date=2026-10-19&amp;time=18:00</t>
  </si>
  <si>
    <t xml:space="preserve">time=10:15; time=18:00</t>
  </si>
  <si>
    <t xml:space="preserve">Both show "Appointments start on the half hour between 9:00am and 4:30pm." [BR-09].</t>
  </si>
  <si>
    <t xml:space="preserve">10:15 and 18:00 both rejected: "Appointments start on the half hour between 9:00am and 4:30pm. Choose another time BR-09".</t>
  </si>
  <si>
    <t xml:space="preserve">TC-11</t>
  </si>
  <si>
    <t xml:space="preserve">BR-04</t>
  </si>
  <si>
    <t xml:space="preserve">Time outside the doctor's published availability, and non-clinic days</t>
  </si>
  <si>
    <t xml:space="preserve">Dr James Whitfield works mornings only. No clinics at weekends.</t>
  </si>
  <si>
    <t xml:space="preserve">1. Open Dr Priya Raman, select Sat 17 Oct
2. Navigate to #/book/d2?date=2026-10-19&amp;time=15:00</t>
  </si>
  <si>
    <t xml:space="preserve">Saturday 2026-10-17; d2 15:00</t>
  </si>
  <si>
    <t xml:space="preserve">Saturday shows "Closed" and "No clinic on this day"; direct booking shows "The doctor is not available at this time." [BR-04].</t>
  </si>
  <si>
    <t xml:space="preserve">Saturday labelled "Closed" with "No clinic on this day. Pick another date."; d2 15:00 rejected: "The doctor is not available at this time. Choose one of the listed slots. Choose another time BR-04".</t>
  </si>
  <si>
    <t xml:space="preserve">TC-12</t>
  </si>
  <si>
    <t xml:space="preserve">Malformed date/time and dates beyond the 30-day booking horizon are rejected</t>
  </si>
  <si>
    <t xml:space="preserve">1. Navigate to #/book/d7?date=2026-02-30&amp;time=10:00
2. Navigate to #/book/d7?date=2026-10-19&amp;time=25:00
3. Navigate to #/book/d7?date=2026-11-20&amp;time=10:00</t>
  </si>
  <si>
    <t xml:space="preserve">2026-02-30; 25:00; 2026-11-20 (37 days ahead)</t>
  </si>
  <si>
    <t xml:space="preserve">First two: "Select a valid date and time." [BR-04]. Third: "Appointments can be booked up to 30 days ahead." [BR-09].</t>
  </si>
  <si>
    <t xml:space="preserve">Invalid date and time rejected ("Select a valid date and time. Choose another time BR-04"); 37 days ahead rejected ("Appointments can be booked up to 30 days ahead. Choose another time BR-09").</t>
  </si>
  <si>
    <t xml:space="preserve">TC-13</t>
  </si>
  <si>
    <t xml:space="preserve">FR-31, BR-05</t>
  </si>
  <si>
    <t xml:space="preserve">Patient cancels an upcoming appointment more than 2 hours ahead</t>
  </si>
  <si>
    <t xml:space="preserve">Alice has APT-1001 (Fri 16 Oct 10:00).</t>
  </si>
  <si>
    <t xml:space="preserve">1. Open My appointments
2. Click Cancel on APT-1001
3. Click Cancel appointment in the dialog
4. Open Past &amp; cancelled tab</t>
  </si>
  <si>
    <t xml:space="preserve">APT-1001</t>
  </si>
  <si>
    <t xml:space="preserve">Dialog asks for confirmation; toast confirms the slot is free; APT-1001 leaves Upcoming and appears under Past &amp; cancelled as Cancelled.</t>
  </si>
  <si>
    <t xml:space="preserve">Dialog "Cancel this appointment?"; toast "Appointment APT-1001 cancelled. The slot is now free for other patients."; APT-1001 now under Past &amp; cancelled as Cancelled.</t>
  </si>
  <si>
    <t xml:space="preserve">TC-14</t>
  </si>
  <si>
    <t xml:space="preserve">BR-05</t>
  </si>
  <si>
    <t xml:space="preserve">A cancelled appointment releases the slot for other patients</t>
  </si>
  <si>
    <t xml:space="preserve">Alice has cancelled APT-1001 (d1 Fri 16 Oct 10:00).</t>
  </si>
  <si>
    <t xml:space="preserve">1. Alice cancels APT-1001
2. Log out and register a new patient
3. Open Dr Priya Raman, Fri 16 Oct
4. Book 10:00am</t>
  </si>
  <si>
    <t xml:space="preserve">release.test@demo.com / Test1234</t>
  </si>
  <si>
    <t xml:space="preserve">10:00am shows as available again and the new patient can book it.</t>
  </si>
  <si>
    <t xml:space="preserve">10:00am became available after cancellation and was booked by the new patient (APT-1013).</t>
  </si>
  <si>
    <t xml:space="preserve">TC-15</t>
  </si>
  <si>
    <t xml:space="preserve">BR-10, FR-33</t>
  </si>
  <si>
    <t xml:space="preserve">Patient cannot cancel online less than 2 hours before the appointment</t>
  </si>
  <si>
    <t xml:space="preserve">Clock 10:00 on Wed 14 Oct. Chloe has APT-1011 today at 11:30.</t>
  </si>
  <si>
    <t xml:space="preserve">1. Log in as Chloe
2. Open My appointments and find APT-1011</t>
  </si>
  <si>
    <t xml:space="preserve">chloe@demo.com; APT-1011 (today 11:30)</t>
  </si>
  <si>
    <t xml:space="preserve">Cancel and Reschedule are disabled; message says changes are not possible online within 2 hours and gives the hospital phone number.</t>
  </si>
  <si>
    <t xml:space="preserve">Cancel and Reschedule disabled; message "Appointments can't be changed online less than 2 hours before the start. Call the hospital on 020 7946 0000.".</t>
  </si>
  <si>
    <t xml:space="preserve">TC-16</t>
  </si>
  <si>
    <t xml:space="preserve">FR-45, BR-05</t>
  </si>
  <si>
    <t xml:space="preserve">Doctor cancels an appointment with a reason; patient sees it cancelled</t>
  </si>
  <si>
    <t xml:space="preserve">Dr Raman logged in; APT-1001 on Fri 16 Oct 10:00.</t>
  </si>
  <si>
    <t xml:space="preserve">1. Schedule tab, go to Fri 16 Oct
2. Click Cancel on APT-1001
3. Click Cancel appointment with an empty reason
4. Enter a reason and confirm
5. Log in as Alice and check Past &amp; cancelled</t>
  </si>
  <si>
    <t xml:space="preserve">Reason "Doctor unwell"</t>
  </si>
  <si>
    <t xml:space="preserve">Empty reason is rejected ("Enter a reason for cancelling."); with a reason the status becomes Cancelled; Alice sees APT-1001 as Cancelled.</t>
  </si>
  <si>
    <t xml:space="preserve">Empty reason rejected ("Enter a reason for cancelling."); status changed to Cancelled; Alice sees APT-1001 as Cancelled.</t>
  </si>
  <si>
    <t xml:space="preserve">TC-17</t>
  </si>
  <si>
    <t xml:space="preserve">FR-32, BR-06, BR-14</t>
  </si>
  <si>
    <t xml:space="preserve">Patient reschedules to another open slot with the same doctor</t>
  </si>
  <si>
    <t xml:space="preserve">Alice has APT-1001 (d1 Fri 16 Oct 10:00).</t>
  </si>
  <si>
    <t xml:space="preserve">1. Click Reschedule on APT-1001
2. Select Fri 16 Oct 11:00
3. Click Confirm new time
4. Check Dr Raman Fri 16 Oct 10:00 as another patient</t>
  </si>
  <si>
    <t xml:space="preserve">New slot 2026-10-16 11:00</t>
  </si>
  <si>
    <t xml:space="preserve">Confirmation shows Fri 16 Oct 11:00am with the same reference APT-1001; the old 10:00 slot is available again.</t>
  </si>
  <si>
    <t xml:space="preserve">Moved to Fri 16 Oct 11:00am, reference still APT-1001; 10:00am slot released (selectable).</t>
  </si>
  <si>
    <t xml:space="preserve">TC-18</t>
  </si>
  <si>
    <t xml:space="preserve">BR-06</t>
  </si>
  <si>
    <t xml:space="preserve">Patient cannot reschedule into an unavailable slot</t>
  </si>
  <si>
    <t xml:space="preserve">Alice rescheduling APT-1001; Ben holds 10:30 the same day.</t>
  </si>
  <si>
    <t xml:space="preserve">1. Open Reschedule for APT-1001
2. Select Fri 16 Oct
3. Try 10:30am and the current 10:00am slot</t>
  </si>
  <si>
    <t xml:space="preserve">2026-10-16 10:30 (booked), 10:00 (current)</t>
  </si>
  <si>
    <t xml:space="preserve">Both slots disabled (10:00 labelled "current"); Confirm new time stays disabled; appointment unchanged.</t>
  </si>
  <si>
    <t xml:space="preserve">Booked 10:30am and current 10:00am both disabled (current is labelled); Confirm new time disabled.</t>
  </si>
  <si>
    <t xml:space="preserve">TC-19</t>
  </si>
  <si>
    <t xml:space="preserve">BR-10</t>
  </si>
  <si>
    <t xml:space="preserve">Rescheduling is blocked less than 2 hours before the appointment</t>
  </si>
  <si>
    <t xml:space="preserve">Clock 10:00 Wed 14 Oct; Chloe's APT-1011 is today 11:30.</t>
  </si>
  <si>
    <t xml:space="preserve">1. Log in as Chloe
2. Navigate to #/reschedule/APT-1011</t>
  </si>
  <si>
    <t xml:space="preserve">APT-1011</t>
  </si>
  <si>
    <t xml:space="preserve">Error with BR-10; no slot picker shown.</t>
  </si>
  <si>
    <t xml:space="preserve">Blocked: "Appointments can't be changed online less than 2 hours before the start. Call the hospital on 020 7946 0000. BR-10"; slot picker not shown.</t>
  </si>
  <si>
    <t xml:space="preserve">TC-20</t>
  </si>
  <si>
    <t xml:space="preserve">FR-53, BR-08</t>
  </si>
  <si>
    <t xml:space="preserve">Admin reschedules an appointment on behalf of a patient</t>
  </si>
  <si>
    <t xml:space="preserve">Admin logged in; Ben has APT-1007 with Dr Nowak Mon 19 Oct 11:00.</t>
  </si>
  <si>
    <t xml:space="preserve">1. Admin &gt; Appointments
2. Click Reschedule on APT-1007
3. Select Mon 19 Oct 11:30, confirm</t>
  </si>
  <si>
    <t xml:space="preserve">APT-1007 → 2026-10-19 11:30</t>
  </si>
  <si>
    <t xml:space="preserve">Returns to the admin appointment list; APT-1007 shows Mon 19 Oct, 11:30am.</t>
  </si>
  <si>
    <t xml:space="preserve">APT-1007 now "APT-1007 Mon, 19 Oct, 11:30am Ben Carter Dr Tomasz Nowak Booked RescheduleCancel".</t>
  </si>
  <si>
    <t xml:space="preserve">TC-21</t>
  </si>
  <si>
    <t xml:space="preserve">FR-03, US-02</t>
  </si>
  <si>
    <t xml:space="preserve">Each role lands on its own dashboard after login</t>
  </si>
  <si>
    <t xml:space="preserve">Demo accounts exist for each role.</t>
  </si>
  <si>
    <t xml:space="preserve">1. Log in as patient
2. Log out, log in as doctor
3. Log out, log in as admin</t>
  </si>
  <si>
    <t xml:space="preserve">alice@demo.com; priya.raman@hospital.demo; admin@hospital.demo</t>
  </si>
  <si>
    <t xml:space="preserve">Patient → My appointments; Doctor → Schedule; Admin → Hospital administration.</t>
  </si>
  <si>
    <t xml:space="preserve">alice@demo.com → /patient ("My appointments"); priya.raman@hospital.demo → /doctor ("Dr Priya Raman"); admin@hospital.demo → /admin ("Hospital administration")</t>
  </si>
  <si>
    <t xml:space="preserve">TC-22</t>
  </si>
  <si>
    <t xml:space="preserve">FR-04</t>
  </si>
  <si>
    <t xml:space="preserve">Invalid or missing credentials are rejected with a generic message</t>
  </si>
  <si>
    <t xml:space="preserve">On the Log in page.</t>
  </si>
  <si>
    <t xml:space="preserve">1. Submit empty form
2. Submit alice@demo.com with a wrong password
3. Submit an unknown email</t>
  </si>
  <si>
    <t xml:space="preserve">wrong password "Wrong@123"; nobody@demo.com</t>
  </si>
  <si>
    <t xml:space="preserve">Empty: "Enter your email and password." Wrong password and unknown email both show the same "Invalid email or password." User stays on Log in.</t>
  </si>
  <si>
    <t xml:space="preserve">Empty: "Enter your email and password."; wrong password and unknown email both: "Invalid email or password."; stayed on /login.</t>
  </si>
  <si>
    <t xml:space="preserve">TC-23</t>
  </si>
  <si>
    <t xml:space="preserve">FR-05, BR-01</t>
  </si>
  <si>
    <t xml:space="preserve">Guest cannot open protected pages</t>
  </si>
  <si>
    <t xml:space="preserve">Not logged in.</t>
  </si>
  <si>
    <t xml:space="preserve">1. Navigate to #/patient
2. Navigate to #/admin
3. Navigate to #/book/d7?date=2026-10-19&amp;time=10:00</t>
  </si>
  <si>
    <t xml:space="preserve">Protected URLs</t>
  </si>
  <si>
    <t xml:space="preserve">Each redirects to Log in (with return path).</t>
  </si>
  <si>
    <t xml:space="preserve">All redirected to login: /login?redirect=/patient | /login?redirect=/admin | /login?redirect=/book/d7?date=2026-10-19&amp;time=10:00</t>
  </si>
  <si>
    <t xml:space="preserve">TC-24</t>
  </si>
  <si>
    <t xml:space="preserve">FR-05, BR-07</t>
  </si>
  <si>
    <t xml:space="preserve">Users cannot open another role's pages; doctors see only their own appointments</t>
  </si>
  <si>
    <t xml:space="preserve">Alice and Dr Raman accounts.</t>
  </si>
  <si>
    <t xml:space="preserve">1. As Alice open #/admin and #/doctor
2. As Dr Raman open #/admin
3. As Dr Raman view Mon 19 Oct schedule</t>
  </si>
  <si>
    <t xml:space="preserve">APT-1007 belongs to Dr Nowak on Mon 19 Oct</t>
  </si>
  <si>
    <t xml:space="preserve">Alice is returned to My appointments with "You do not have access to that page."; doctor returned to Schedule; Dr Raman's schedule never shows APT-1007.</t>
  </si>
  <si>
    <t xml:space="preserve">Patient → /patient with "You do not have access to that page."; patient /doctor → /patient; doctor /admin → /doctor; APT-1007 not visible to Dr Raman.</t>
  </si>
  <si>
    <t xml:space="preserve">TC-25</t>
  </si>
  <si>
    <t xml:space="preserve">FR-51</t>
  </si>
  <si>
    <t xml:space="preserve">Deactivated patient cannot log in</t>
  </si>
  <si>
    <t xml:space="preserve">Daniel Price's account is deactivated.</t>
  </si>
  <si>
    <t xml:space="preserve">1. Log in as daniel@demo.com</t>
  </si>
  <si>
    <t xml:space="preserve">daniel@demo.com / Patient@123</t>
  </si>
  <si>
    <t xml:space="preserve">"This account is deactivated. Contact the hospital." and the user stays on Log in.</t>
  </si>
  <si>
    <t xml:space="preserve">Login refused: "This account is deactivated. Contact the hospital.".</t>
  </si>
  <si>
    <t xml:space="preserve">TC-26</t>
  </si>
  <si>
    <t xml:space="preserve">Admin cancels a patient's appointment with a reason</t>
  </si>
  <si>
    <t xml:space="preserve">Admin logged in; APT-1002 (Alice, Dr Chen, Wed 21 Oct) is Booked.</t>
  </si>
  <si>
    <t xml:space="preserve">1. Admin &gt; Appointments
2. Click Cancel on APT-1002
3. Enter reason "Patient called to cancel" and confirm</t>
  </si>
  <si>
    <t xml:space="preserve">APT-1002</t>
  </si>
  <si>
    <t xml:space="preserve">Status changes to Cancelled; slot released; action appears in Recent activity.</t>
  </si>
  <si>
    <t xml:space="preserve">APT-1002 status Cancelled; activity log: "Cancelled APT-1002 — slot released Hospital Admin · 08:00".</t>
  </si>
  <si>
    <t xml:space="preserve">TC-27</t>
  </si>
  <si>
    <t xml:space="preserve">FR-41, US-09</t>
  </si>
  <si>
    <t xml:space="preserve">Doctor publishes a new slot and patients can see it</t>
  </si>
  <si>
    <t xml:space="preserve">Dr Raman has no 12:30 slot on Tue 20 Oct.</t>
  </si>
  <si>
    <t xml:space="preserve">1. Doctor &gt; Availability, go to Tue 20 Oct
2. Click 12:30pm (Not available)
3. Log out; open Dr Raman profile as guest on Tue 20 Oct</t>
  </si>
  <si>
    <t xml:space="preserve">2026-10-20 12:30</t>
  </si>
  <si>
    <t xml:space="preserve">Slot changes to Open; guest sees 12:30pm as an available slot.</t>
  </si>
  <si>
    <t xml:space="preserve">Slot state "Open"; 12:30pm visible and selectable on the patient profile.</t>
  </si>
  <si>
    <t xml:space="preserve">TC-28</t>
  </si>
  <si>
    <t xml:space="preserve">FR-42</t>
  </si>
  <si>
    <t xml:space="preserve">Doctor removes an open slot and it disappears for patients</t>
  </si>
  <si>
    <t xml:space="preserve">Dr Raman has an open 09:00 slot on Tue 20 Oct.</t>
  </si>
  <si>
    <t xml:space="preserve">1. Availability &gt; Tue 20 Oct, click 9:00am (Open)
2. Check the profile as a guest</t>
  </si>
  <si>
    <t xml:space="preserve">2026-10-20 09:00</t>
  </si>
  <si>
    <t xml:space="preserve">Slot shows Not available; 9:00am no longer listed on the profile.</t>
  </si>
  <si>
    <t xml:space="preserve">Slot state "Not available"; 9:00am no longer offered to patients.</t>
  </si>
  <si>
    <t xml:space="preserve">TC-29</t>
  </si>
  <si>
    <t xml:space="preserve">BR-12, FR-43</t>
  </si>
  <si>
    <t xml:space="preserve">Doctor cannot remove a slot that is already booked</t>
  </si>
  <si>
    <t xml:space="preserve">APT-1001 (Alice) occupies Fri 16 Oct 10:00.</t>
  </si>
  <si>
    <t xml:space="preserve">1. Availability &gt; Fri 16 Oct
2. Click 10:00am (Booked)</t>
  </si>
  <si>
    <t xml:space="preserve">2026-10-16 10:00</t>
  </si>
  <si>
    <t xml:space="preserve">Error "This slot is booked (APT-1001). Cancel the appointment first." [BR-12]; slot stays Booked.</t>
  </si>
  <si>
    <t xml:space="preserve">Blocked: "This slot is booked (APT-1001). Cancel the appointment first. BR-12"; slot still Booked.</t>
  </si>
  <si>
    <t xml:space="preserve">TC-30</t>
  </si>
  <si>
    <t xml:space="preserve">Doctor cannot add availability for a past date or beyond 30 days</t>
  </si>
  <si>
    <t xml:space="preserve">Dr Raman logged in.</t>
  </si>
  <si>
    <t xml:space="preserve">1. Availability &gt; Tue 13 Oct (yesterday)
2. Click a Not available slot
3. Go to Sat 14 Nov (31 days ahead)</t>
  </si>
  <si>
    <t xml:space="preserve">2026-10-13; 2026-11-14</t>
  </si>
  <si>
    <t xml:space="preserve">Past date: warning and "Publish whole day" disabled; adding a slot is rejected. Beyond 30 days: warning and Publish disabled.</t>
  </si>
  <si>
    <t xml:space="preserve">Past date: "Availability cannot be added for a past date. BR-09", publish disabled, click rejected. 31 days ahead: "Availability can be published up to 30 days ahead. BR-09", publish disabled.</t>
  </si>
  <si>
    <t xml:space="preserve">TC-31</t>
  </si>
  <si>
    <t xml:space="preserve">FR-45, BR-13</t>
  </si>
  <si>
    <t xml:space="preserve">Doctor can mark an appointment completed only after its start time</t>
  </si>
  <si>
    <t xml:space="preserve">APT-1006 (Ben) was yesterday 09:00 and is still Booked; APT-1001 is Fri 16 Oct.</t>
  </si>
  <si>
    <t xml:space="preserve">1. Schedule &gt; Tue 13 Oct, click Mark completed on APT-1006
2. Go to Fri 16 Oct and check APT-1001</t>
  </si>
  <si>
    <t xml:space="preserve">APT-1006, APT-1001</t>
  </si>
  <si>
    <t xml:space="preserve">APT-1006 becomes Completed; "Mark completed" is disabled for future APT-1001.</t>
  </si>
  <si>
    <t xml:space="preserve">Dashboard flagged "1 past appointments still to close"; APT-1006 → Completed; future APT-1001 "Mark completed" disabled.</t>
  </si>
  <si>
    <t xml:space="preserve">TC-32</t>
  </si>
  <si>
    <t xml:space="preserve">FR-41</t>
  </si>
  <si>
    <t xml:space="preserve">Doctor publishes a whole day further ahead and patients see the new slots</t>
  </si>
  <si>
    <t xml:space="preserve">Mon 2 Nov has no availability for Dr Raman.</t>
  </si>
  <si>
    <t xml:space="preserve">1. Availability &gt; Mon 2 Nov
2. Click Publish whole day
3. Open Dr Raman profile as a patient, scroll the date strip to 2 Nov</t>
  </si>
  <si>
    <t xml:space="preserve">2026-11-02</t>
  </si>
  <si>
    <t xml:space="preserve">All 16 slots (9:00–16:30) become Open; patient date strip shows "16 free" for 2 Nov.</t>
  </si>
  <si>
    <t xml:space="preserve">16 slots published; patient view shows "16 free" on Mon 2 Nov.</t>
  </si>
  <si>
    <t xml:space="preserve">TC-33</t>
  </si>
  <si>
    <t xml:space="preserve">FR-50, FR-56, BR-15</t>
  </si>
  <si>
    <t xml:space="preserve">Admin deactivates a doctor; doctor disappears from search</t>
  </si>
  <si>
    <t xml:space="preserve">Dr Grace Chen is active with upcoming bookings.</t>
  </si>
  <si>
    <t xml:space="preserve">1. Admin &gt; Doctors, click Deactivate for Dr Grace Chen
2. Accept the warning
3. As guest open Find a doctor and #/doctors/d7</t>
  </si>
  <si>
    <t xml:space="preserve">d7</t>
  </si>
  <si>
    <t xml:space="preserve">Warning shows the number of upcoming appointments; status Inactive; Dr Chen not listed; profile shows "Doctor not available".</t>
  </si>
  <si>
    <t xml:space="preserve">Warning: "Dr Grace Chen has 1 upcoming appointment(s). Deactivating hides them f…"; status Inactive; not in search; profile "Doctor not available".</t>
  </si>
  <si>
    <t xml:space="preserve">TC-34</t>
  </si>
  <si>
    <t xml:space="preserve">FR-50</t>
  </si>
  <si>
    <t xml:space="preserve">Admin adds a doctor (with validation)</t>
  </si>
  <si>
    <t xml:space="preserve">Admin logged in.</t>
  </si>
  <si>
    <t xml:space="preserve">1. Admin &gt; Doctors &gt; Add doctor
2. Click Add doctor with empty form
3. Fill details and save
4. As guest filter Find a doctor by ENT</t>
  </si>
  <si>
    <t xml:space="preserve">Dr Test Doctor; test.doctor@hospital.demo; ENT; £75; 5 yrs; MBBS</t>
  </si>
  <si>
    <t xml:space="preserve">Empty form shows field errors; after saving the doctor appears in the table and in ENT search with "No free slots in the next 30 days".</t>
  </si>
  <si>
    <t xml:space="preserve">5 field errors on empty form; doctor added; ENT search shows Dr Test Doctor with "No free slots in the next 30 days".</t>
  </si>
  <si>
    <t xml:space="preserve">TC-35</t>
  </si>
  <si>
    <t xml:space="preserve">FR-52, FR-55, US-15</t>
  </si>
  <si>
    <t xml:space="preserve">Admin filters appointments and exports a report</t>
  </si>
  <si>
    <t xml:space="preserve">Admin logged in; seed data loaded.</t>
  </si>
  <si>
    <t xml:space="preserve">1. Appointments tab: filter Status = Cancelled
2. Reports tab: keep default range
3. Click Export CSV
4. Set From after To</t>
  </si>
  <si>
    <t xml:space="preserve">Status Cancelled; default range ±14 days</t>
  </si>
  <si>
    <t xml:space="preserve">Only cancelled appointments listed (APT-1004); report shows totals by status and doctor; CSV downloads with one row per appointment; invalid range shows an error.</t>
  </si>
  <si>
    <t xml:space="preserve">Filter returned only APT-1004; report total 12; CSV "appointments_2026-09-30_to_2026-10-28.csv" with 12 rows; invalid range: "The start date must be on or before the end date.".</t>
  </si>
  <si>
    <t xml:space="preserve">TC-36</t>
  </si>
  <si>
    <t xml:space="preserve">FR-01, FR-02</t>
  </si>
  <si>
    <t xml:space="preserve">Registration rejects a duplicate email and invalid fields</t>
  </si>
  <si>
    <t xml:space="preserve">alice@demo.com already registered.</t>
  </si>
  <si>
    <t xml:space="preserve">1. Open Register, click Create account with empty form
2. Enter alice@demo.com, valid other fields, mismatched confirm password
3. Fix the password and submit</t>
  </si>
  <si>
    <t xml:space="preserve">alice@demo.com; Test1234 / Test9999</t>
  </si>
  <si>
    <t xml:space="preserve">Empty form: errors on all 5 required fields. Mismatch: "Passwords do not match." Duplicate: "An account with this email already exists." No account created.</t>
  </si>
  <si>
    <t xml:space="preserve">5 field errors on empty form; mismatch "Passwords do not match."; duplicate "An account with this email already exists."; stayed on Register.</t>
  </si>
  <si>
    <t xml:space="preserve">TC-37</t>
  </si>
  <si>
    <t xml:space="preserve">BR-16</t>
  </si>
  <si>
    <t xml:space="preserve">Low</t>
  </si>
  <si>
    <t xml:space="preserve">Patient with 3 upcoming appointments cannot book a fourth</t>
  </si>
  <si>
    <t xml:space="preserve">Ben has 3 upcoming appointments.</t>
  </si>
  <si>
    <t xml:space="preserve">1. Log in as Ben
2. Select Dr Grace Chen Mon 19 Oct 10:00 and continue</t>
  </si>
  <si>
    <t xml:space="preserve">ben@demo.com</t>
  </si>
  <si>
    <t xml:space="preserve">"You can hold up to 3 upcoming appointments. Cancel one to book another." [BR-16]; Confirm disabled.</t>
  </si>
  <si>
    <t xml:space="preserve">Blocked: "You can hold up to 3 upcoming appointments. Cancel one to book another. BR-16".</t>
  </si>
  <si>
    <t xml:space="preserve">TC-38</t>
  </si>
  <si>
    <t xml:space="preserve">NFR-01</t>
  </si>
  <si>
    <t xml:space="preserve">Booking journey works on a mobile screen (390 × 844)</t>
  </si>
  <si>
    <t xml:space="preserve">Mobile viewport.</t>
  </si>
  <si>
    <t xml:space="preserve">1. Open the site on a 390px wide screen
2. Open the Menu
3. Log in as Alice and book Dr Grace Chen Mon 19 Oct 10:00</t>
  </si>
  <si>
    <t xml:space="preserve">Viewport 390×844</t>
  </si>
  <si>
    <t xml:space="preserve">Navigation collapses behind a Menu button; no horizontal scrolling; booking completes.</t>
  </si>
  <si>
    <t xml:space="preserve">Menu collapsed and opened correctly; no horizontal overflow; booking confirmed on mobile.</t>
  </si>
  <si>
    <t xml:space="preserve">Requirements traceability: business rules → test cases</t>
  </si>
  <si>
    <t xml:space="preserve">Rule / req.</t>
  </si>
  <si>
    <t xml:space="preserve">Description</t>
  </si>
  <si>
    <t xml:space="preserve">Test cases</t>
  </si>
  <si>
    <t xml:space="preserve">BR-01</t>
  </si>
  <si>
    <t xml:space="preserve">Only registered, logged-in patients can book</t>
  </si>
  <si>
    <t xml:space="preserve">TC-02, TC-21, TC-23, TC-25</t>
  </si>
  <si>
    <t xml:space="preserve">BR-02</t>
  </si>
  <si>
    <t xml:space="preserve">Patient cannot book an occupied slot</t>
  </si>
  <si>
    <t xml:space="preserve">TC-04, TC-05, TC-06, TC-08</t>
  </si>
  <si>
    <t xml:space="preserve">BR-03</t>
  </si>
  <si>
    <t xml:space="preserve">Doctor cannot have two appointments in one slot</t>
  </si>
  <si>
    <t xml:space="preserve">Must select a valid available date and time</t>
  </si>
  <si>
    <t xml:space="preserve">TC-11, TC-12</t>
  </si>
  <si>
    <t xml:space="preserve">Cancelled appointment releases the slot</t>
  </si>
  <si>
    <t xml:space="preserve">TC-13, TC-14, TC-16, TC-26</t>
  </si>
  <si>
    <t xml:space="preserve">Reschedule only to an available slot</t>
  </si>
  <si>
    <t xml:space="preserve">TC-17, TC-18, TC-20</t>
  </si>
  <si>
    <t xml:space="preserve">BR-07</t>
  </si>
  <si>
    <t xml:space="preserve">Doctors see/manage only their own appointments</t>
  </si>
  <si>
    <t xml:space="preserve">BR-08</t>
  </si>
  <si>
    <t xml:space="preserve">Admins manage doctors, patients, appointments</t>
  </si>
  <si>
    <t xml:space="preserve">TC-20, TC-26, TC-33, TC-34, TC-35</t>
  </si>
  <si>
    <t xml:space="preserve">30-min slots, ≤30 days ahead, no past slots</t>
  </si>
  <si>
    <t xml:space="preserve">TC-09, TC-10, TC-12, TC-30</t>
  </si>
  <si>
    <t xml:space="preserve">No online change within 2 hours of start</t>
  </si>
  <si>
    <t xml:space="preserve">TC-15, TC-19</t>
  </si>
  <si>
    <t xml:space="preserve">BR-11</t>
  </si>
  <si>
    <t xml:space="preserve">Patient cannot hold two appointments at the same time</t>
  </si>
  <si>
    <t xml:space="preserve">BR-12</t>
  </si>
  <si>
    <t xml:space="preserve">Booked slot cannot be removed from availability</t>
  </si>
  <si>
    <t xml:space="preserve">BR-13</t>
  </si>
  <si>
    <t xml:space="preserve">Complete only after start time</t>
  </si>
  <si>
    <t xml:space="preserve">BR-14</t>
  </si>
  <si>
    <t xml:space="preserve">Reschedule keeps the same doctor</t>
  </si>
  <si>
    <t xml:space="preserve">BR-15</t>
  </si>
  <si>
    <t xml:space="preserve">Inactive doctors hidden and not bookable</t>
  </si>
  <si>
    <t xml:space="preserve">Max 3 upcoming appointments per patient</t>
  </si>
  <si>
    <t xml:space="preserve">FR-41/42</t>
  </si>
  <si>
    <t xml:space="preserve">Doctor publishes and removes availability</t>
  </si>
  <si>
    <t xml:space="preserve">TC-27, TC-28, TC-32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</si>
</sst>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303A"/>
      <name val="Arial"/>
      <family val="0"/>
      <charset val="1"/>
    </font>
    <font>
      <i val="true"/>
      <sz val="9"/>
      <color rgb="FF3E586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30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8C5"/>
      </left>
      <right style="thin">
        <color rgb="FFB9C8C5"/>
      </right>
      <top style="thin">
        <color rgb="FFB9C8C5"/>
      </top>
      <bottom style="thin">
        <color rgb="FFB9C8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430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2ED"/>
          <bgColor rgb="FF000000"/>
        </patternFill>
      </fill>
    </dxf>
    <dxf>
      <fill>
        <patternFill patternType="solid">
          <fgColor rgb="FF17735F"/>
          <bgColor rgb="FF000000"/>
        </patternFill>
      </fill>
    </dxf>
    <dxf>
      <font>
        <b val="1"/>
        <color rgb="FF17735F"/>
      </font>
      <fill>
        <patternFill>
          <bgColor rgb="FFE3F2ED"/>
        </patternFill>
      </fill>
    </dxf>
    <dxf>
      <font>
        <b val="1"/>
        <color rgb="FFB3261E"/>
      </font>
      <fill>
        <patternFill>
          <bgColor rgb="FFFBECEB"/>
        </patternFill>
      </fill>
    </dxf>
    <dxf>
      <font>
        <b val="1"/>
        <color rgb="FF8A5A00"/>
      </font>
      <fill>
        <patternFill>
          <bgColor rgb="FFFDF3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17735F"/>
      <rgbColor rgb="FFB9C8C5"/>
      <rgbColor rgb="FF808080"/>
      <rgbColor rgb="FF9999FF"/>
      <rgbColor rgb="FF993366"/>
      <rgbColor rgb="FFFDF3DC"/>
      <rgbColor rgb="FFE3F2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C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E5862"/>
      <rgbColor rgb="FF969696"/>
      <rgbColor rgb="FF003366"/>
      <rgbColor rgb="FF339966"/>
      <rgbColor rgb="FF003300"/>
      <rgbColor rgb="FF333300"/>
      <rgbColor rgb="FFB3261E"/>
      <rgbColor rgb="FF993366"/>
      <rgbColor rgb="FF333399"/>
      <rgbColor rgb="FF1430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f aca="false">COUNTIF('Test Cases'!$K$5:$K$42,A5)</f>
        <v>38</v>
      </c>
      <c r="C5" s="5" t="n">
        <f aca="false">IFERROR(B5/$B$8,0)</f>
        <v>1</v>
      </c>
    </row>
    <row r="6" customFormat="false" ht="15" hidden="false" customHeight="false" outlineLevel="0" collapsed="false">
      <c r="A6" s="4" t="s">
        <v>6</v>
      </c>
      <c r="B6" s="4" t="n">
        <f aca="false">COUNTIF('Test Cases'!$K$5:$K$42,A6)</f>
        <v>0</v>
      </c>
      <c r="C6" s="5" t="n">
        <f aca="false">IFERROR(B6/$B$8,0)</f>
        <v>0</v>
      </c>
    </row>
    <row r="7" customFormat="false" ht="15" hidden="false" customHeight="false" outlineLevel="0" collapsed="false">
      <c r="A7" s="4" t="s">
        <v>7</v>
      </c>
      <c r="B7" s="4" t="n">
        <f aca="false">COUNTIF('Test Cases'!$K$5:$K$42,A7)</f>
        <v>0</v>
      </c>
      <c r="C7" s="5" t="n">
        <f aca="false">IFERROR(B7/$B$8,0)</f>
        <v>0</v>
      </c>
    </row>
    <row r="8" customFormat="false" ht="15" hidden="false" customHeight="false" outlineLevel="0" collapsed="false">
      <c r="A8" s="6" t="s">
        <v>8</v>
      </c>
      <c r="B8" s="6" t="n">
        <f aca="false">SUM(B5:B7)</f>
        <v>38</v>
      </c>
      <c r="C8" s="7" t="n">
        <f aca="false">SUM(C5:C7)</f>
        <v>1</v>
      </c>
    </row>
    <row r="10" customFormat="false" ht="15" hidden="false" customHeight="false" outlineLevel="0" collapsed="false">
      <c r="A10" s="8" t="s">
        <v>9</v>
      </c>
    </row>
    <row r="11" customFormat="false" ht="15" hidden="false" customHeight="false" outlineLevel="0" collapsed="false">
      <c r="A11" s="3" t="s">
        <v>10</v>
      </c>
      <c r="B11" s="3" t="s">
        <v>8</v>
      </c>
      <c r="C11" s="3" t="s">
        <v>5</v>
      </c>
      <c r="D11" s="3" t="s">
        <v>6</v>
      </c>
      <c r="E11" s="3" t="s">
        <v>7</v>
      </c>
    </row>
    <row r="12" customFormat="false" ht="15" hidden="false" customHeight="false" outlineLevel="0" collapsed="false">
      <c r="A12" s="4" t="s">
        <v>11</v>
      </c>
      <c r="B12" s="4" t="n">
        <f aca="false">COUNTIF('Test Cases'!$B$5:$B$42,A12)</f>
        <v>3</v>
      </c>
      <c r="C12" s="4" t="n">
        <f aca="false">COUNTIFS('Test Cases'!$B$5:$B$42,$A12,'Test Cases'!$K$5:$K$42,"Pass")</f>
        <v>3</v>
      </c>
      <c r="D12" s="4" t="n">
        <f aca="false">COUNTIFS('Test Cases'!$B$5:$B$42,$A12,'Test Cases'!$K$5:$K$42,"Fail")</f>
        <v>0</v>
      </c>
      <c r="E12" s="4" t="n">
        <f aca="false">COUNTIFS('Test Cases'!$B$5:$B$42,$A12,'Test Cases'!$K$5:$K$42,"Not Executed")</f>
        <v>0</v>
      </c>
    </row>
    <row r="13" customFormat="false" ht="15" hidden="false" customHeight="false" outlineLevel="0" collapsed="false">
      <c r="A13" s="4" t="s">
        <v>12</v>
      </c>
      <c r="B13" s="4" t="n">
        <f aca="false">COUNTIF('Test Cases'!$B$5:$B$42,A13)</f>
        <v>3</v>
      </c>
      <c r="C13" s="4" t="n">
        <f aca="false">COUNTIFS('Test Cases'!$B$5:$B$42,$A13,'Test Cases'!$K$5:$K$42,"Pass")</f>
        <v>3</v>
      </c>
      <c r="D13" s="4" t="n">
        <f aca="false">COUNTIFS('Test Cases'!$B$5:$B$42,$A13,'Test Cases'!$K$5:$K$42,"Fail")</f>
        <v>0</v>
      </c>
      <c r="E13" s="4" t="n">
        <f aca="false">COUNTIFS('Test Cases'!$B$5:$B$42,$A13,'Test Cases'!$K$5:$K$42,"Not Executed")</f>
        <v>0</v>
      </c>
    </row>
    <row r="14" customFormat="false" ht="15" hidden="false" customHeight="false" outlineLevel="0" collapsed="false">
      <c r="A14" s="4" t="s">
        <v>13</v>
      </c>
      <c r="B14" s="4" t="n">
        <f aca="false">COUNTIF('Test Cases'!$B$5:$B$42,A14)</f>
        <v>2</v>
      </c>
      <c r="C14" s="4" t="n">
        <f aca="false">COUNTIFS('Test Cases'!$B$5:$B$42,$A14,'Test Cases'!$K$5:$K$42,"Pass")</f>
        <v>2</v>
      </c>
      <c r="D14" s="4" t="n">
        <f aca="false">COUNTIFS('Test Cases'!$B$5:$B$42,$A14,'Test Cases'!$K$5:$K$42,"Fail")</f>
        <v>0</v>
      </c>
      <c r="E14" s="4" t="n">
        <f aca="false">COUNTIFS('Test Cases'!$B$5:$B$42,$A14,'Test Cases'!$K$5:$K$42,"Not Executed")</f>
        <v>0</v>
      </c>
    </row>
    <row r="15" customFormat="false" ht="15" hidden="false" customHeight="false" outlineLevel="0" collapsed="false">
      <c r="A15" s="4" t="s">
        <v>14</v>
      </c>
      <c r="B15" s="4" t="n">
        <f aca="false">COUNTIF('Test Cases'!$B$5:$B$42,A15)</f>
        <v>4</v>
      </c>
      <c r="C15" s="4" t="n">
        <f aca="false">COUNTIFS('Test Cases'!$B$5:$B$42,$A15,'Test Cases'!$K$5:$K$42,"Pass")</f>
        <v>4</v>
      </c>
      <c r="D15" s="4" t="n">
        <f aca="false">COUNTIFS('Test Cases'!$B$5:$B$42,$A15,'Test Cases'!$K$5:$K$42,"Fail")</f>
        <v>0</v>
      </c>
      <c r="E15" s="4" t="n">
        <f aca="false">COUNTIFS('Test Cases'!$B$5:$B$42,$A15,'Test Cases'!$K$5:$K$42,"Not Executed")</f>
        <v>0</v>
      </c>
    </row>
    <row r="16" customFormat="false" ht="15" hidden="false" customHeight="false" outlineLevel="0" collapsed="false">
      <c r="A16" s="4" t="s">
        <v>15</v>
      </c>
      <c r="B16" s="4" t="n">
        <f aca="false">COUNTIF('Test Cases'!$B$5:$B$42,A16)</f>
        <v>4</v>
      </c>
      <c r="C16" s="4" t="n">
        <f aca="false">COUNTIFS('Test Cases'!$B$5:$B$42,$A16,'Test Cases'!$K$5:$K$42,"Pass")</f>
        <v>4</v>
      </c>
      <c r="D16" s="4" t="n">
        <f aca="false">COUNTIFS('Test Cases'!$B$5:$B$42,$A16,'Test Cases'!$K$5:$K$42,"Fail")</f>
        <v>0</v>
      </c>
      <c r="E16" s="4" t="n">
        <f aca="false">COUNTIFS('Test Cases'!$B$5:$B$42,$A16,'Test Cases'!$K$5:$K$42,"Not Executed")</f>
        <v>0</v>
      </c>
    </row>
    <row r="17" customFormat="false" ht="15" hidden="false" customHeight="false" outlineLevel="0" collapsed="false">
      <c r="A17" s="4" t="s">
        <v>16</v>
      </c>
      <c r="B17" s="4" t="n">
        <f aca="false">COUNTIF('Test Cases'!$B$5:$B$42,A17)</f>
        <v>4</v>
      </c>
      <c r="C17" s="4" t="n">
        <f aca="false">COUNTIFS('Test Cases'!$B$5:$B$42,$A17,'Test Cases'!$K$5:$K$42,"Pass")</f>
        <v>4</v>
      </c>
      <c r="D17" s="4" t="n">
        <f aca="false">COUNTIFS('Test Cases'!$B$5:$B$42,$A17,'Test Cases'!$K$5:$K$42,"Fail")</f>
        <v>0</v>
      </c>
      <c r="E17" s="4" t="n">
        <f aca="false">COUNTIFS('Test Cases'!$B$5:$B$42,$A17,'Test Cases'!$K$5:$K$42,"Not Executed")</f>
        <v>0</v>
      </c>
    </row>
    <row r="18" customFormat="false" ht="15" hidden="false" customHeight="false" outlineLevel="0" collapsed="false">
      <c r="A18" s="4" t="s">
        <v>17</v>
      </c>
      <c r="B18" s="4" t="n">
        <f aca="false">COUNTIF('Test Cases'!$B$5:$B$42,A18)</f>
        <v>5</v>
      </c>
      <c r="C18" s="4" t="n">
        <f aca="false">COUNTIFS('Test Cases'!$B$5:$B$42,$A18,'Test Cases'!$K$5:$K$42,"Pass")</f>
        <v>5</v>
      </c>
      <c r="D18" s="4" t="n">
        <f aca="false">COUNTIFS('Test Cases'!$B$5:$B$42,$A18,'Test Cases'!$K$5:$K$42,"Fail")</f>
        <v>0</v>
      </c>
      <c r="E18" s="4" t="n">
        <f aca="false">COUNTIFS('Test Cases'!$B$5:$B$42,$A18,'Test Cases'!$K$5:$K$42,"Not Executed")</f>
        <v>0</v>
      </c>
    </row>
    <row r="19" customFormat="false" ht="15" hidden="false" customHeight="false" outlineLevel="0" collapsed="false">
      <c r="A19" s="4" t="s">
        <v>18</v>
      </c>
      <c r="B19" s="4" t="n">
        <f aca="false">COUNTIF('Test Cases'!$B$5:$B$42,A19)</f>
        <v>1</v>
      </c>
      <c r="C19" s="4" t="n">
        <f aca="false">COUNTIFS('Test Cases'!$B$5:$B$42,$A19,'Test Cases'!$K$5:$K$42,"Pass")</f>
        <v>1</v>
      </c>
      <c r="D19" s="4" t="n">
        <f aca="false">COUNTIFS('Test Cases'!$B$5:$B$42,$A19,'Test Cases'!$K$5:$K$42,"Fail")</f>
        <v>0</v>
      </c>
      <c r="E19" s="4" t="n">
        <f aca="false">COUNTIFS('Test Cases'!$B$5:$B$42,$A19,'Test Cases'!$K$5:$K$42,"Not Executed")</f>
        <v>0</v>
      </c>
    </row>
    <row r="20" customFormat="false" ht="15" hidden="false" customHeight="false" outlineLevel="0" collapsed="false">
      <c r="A20" s="4" t="s">
        <v>19</v>
      </c>
      <c r="B20" s="4" t="n">
        <f aca="false">COUNTIF('Test Cases'!$B$5:$B$42,A20)</f>
        <v>6</v>
      </c>
      <c r="C20" s="4" t="n">
        <f aca="false">COUNTIFS('Test Cases'!$B$5:$B$42,$A20,'Test Cases'!$K$5:$K$42,"Pass")</f>
        <v>6</v>
      </c>
      <c r="D20" s="4" t="n">
        <f aca="false">COUNTIFS('Test Cases'!$B$5:$B$42,$A20,'Test Cases'!$K$5:$K$42,"Fail")</f>
        <v>0</v>
      </c>
      <c r="E20" s="4" t="n">
        <f aca="false">COUNTIFS('Test Cases'!$B$5:$B$42,$A20,'Test Cases'!$K$5:$K$42,"Not Executed")</f>
        <v>0</v>
      </c>
    </row>
    <row r="21" customFormat="false" ht="15" hidden="false" customHeight="false" outlineLevel="0" collapsed="false">
      <c r="A21" s="4" t="s">
        <v>20</v>
      </c>
      <c r="B21" s="4" t="n">
        <f aca="false">COUNTIF('Test Cases'!$B$5:$B$42,A21)</f>
        <v>2</v>
      </c>
      <c r="C21" s="4" t="n">
        <f aca="false">COUNTIFS('Test Cases'!$B$5:$B$42,$A21,'Test Cases'!$K$5:$K$42,"Pass")</f>
        <v>2</v>
      </c>
      <c r="D21" s="4" t="n">
        <f aca="false">COUNTIFS('Test Cases'!$B$5:$B$42,$A21,'Test Cases'!$K$5:$K$42,"Fail")</f>
        <v>0</v>
      </c>
      <c r="E21" s="4" t="n">
        <f aca="false">COUNTIFS('Test Cases'!$B$5:$B$42,$A21,'Test Cases'!$K$5:$K$42,"Not Executed")</f>
        <v>0</v>
      </c>
    </row>
    <row r="22" customFormat="false" ht="15" hidden="false" customHeight="false" outlineLevel="0" collapsed="false">
      <c r="A22" s="4" t="s">
        <v>21</v>
      </c>
      <c r="B22" s="4" t="n">
        <f aca="false">COUNTIF('Test Cases'!$B$5:$B$42,A22)</f>
        <v>1</v>
      </c>
      <c r="C22" s="4" t="n">
        <f aca="false">COUNTIFS('Test Cases'!$B$5:$B$42,$A22,'Test Cases'!$K$5:$K$42,"Pass")</f>
        <v>1</v>
      </c>
      <c r="D22" s="4" t="n">
        <f aca="false">COUNTIFS('Test Cases'!$B$5:$B$42,$A22,'Test Cases'!$K$5:$K$42,"Fail")</f>
        <v>0</v>
      </c>
      <c r="E22" s="4" t="n">
        <f aca="false">COUNTIFS('Test Cases'!$B$5:$B$42,$A22,'Test Cases'!$K$5:$K$42,"Not Executed")</f>
        <v>0</v>
      </c>
    </row>
    <row r="23" customFormat="false" ht="15" hidden="false" customHeight="false" outlineLevel="0" collapsed="false">
      <c r="A23" s="4" t="s">
        <v>22</v>
      </c>
      <c r="B23" s="4" t="n">
        <f aca="false">COUNTIF('Test Cases'!$B$5:$B$42,A23)</f>
        <v>1</v>
      </c>
      <c r="C23" s="4" t="n">
        <f aca="false">COUNTIFS('Test Cases'!$B$5:$B$42,$A23,'Test Cases'!$K$5:$K$42,"Pass")</f>
        <v>1</v>
      </c>
      <c r="D23" s="4" t="n">
        <f aca="false">COUNTIFS('Test Cases'!$B$5:$B$42,$A23,'Test Cases'!$K$5:$K$42,"Fail")</f>
        <v>0</v>
      </c>
      <c r="E23" s="4" t="n">
        <f aca="false">COUNTIFS('Test Cases'!$B$5:$B$42,$A23,'Test Cases'!$K$5:$K$42,"Not Executed")</f>
        <v>0</v>
      </c>
    </row>
    <row r="24" customFormat="false" ht="15" hidden="false" customHeight="false" outlineLevel="0" collapsed="false">
      <c r="A24" s="4" t="s">
        <v>23</v>
      </c>
      <c r="B24" s="4" t="n">
        <f aca="false">COUNTIF('Test Cases'!$B$5:$B$42,A24)</f>
        <v>1</v>
      </c>
      <c r="C24" s="4" t="n">
        <f aca="false">COUNTIFS('Test Cases'!$B$5:$B$42,$A24,'Test Cases'!$K$5:$K$42,"Pass")</f>
        <v>1</v>
      </c>
      <c r="D24" s="4" t="n">
        <f aca="false">COUNTIFS('Test Cases'!$B$5:$B$42,$A24,'Test Cases'!$K$5:$K$42,"Fail")</f>
        <v>0</v>
      </c>
      <c r="E24" s="4" t="n">
        <f aca="false">COUNTIFS('Test Cases'!$B$5:$B$42,$A24,'Test Cases'!$K$5:$K$42,"Not Executed")</f>
        <v>0</v>
      </c>
    </row>
    <row r="25" customFormat="false" ht="15" hidden="false" customHeight="false" outlineLevel="0" collapsed="false">
      <c r="A25" s="4" t="s">
        <v>24</v>
      </c>
      <c r="B25" s="4" t="n">
        <f aca="false">COUNTIF('Test Cases'!$B$5:$B$42,A25)</f>
        <v>1</v>
      </c>
      <c r="C25" s="4" t="n">
        <f aca="false">COUNTIFS('Test Cases'!$B$5:$B$42,$A25,'Test Cases'!$K$5:$K$42,"Pass")</f>
        <v>1</v>
      </c>
      <c r="D25" s="4" t="n">
        <f aca="false">COUNTIFS('Test Cases'!$B$5:$B$42,$A25,'Test Cases'!$K$5:$K$42,"Fail")</f>
        <v>0</v>
      </c>
      <c r="E25" s="4" t="n">
        <f aca="false">COUNTIFS('Test Cases'!$B$5:$B$42,$A25,'Test Cases'!$K$5:$K$42,"Not Executed")</f>
        <v>0</v>
      </c>
    </row>
    <row r="27" customFormat="false" ht="15" hidden="false" customHeight="false" outlineLevel="0" collapsed="false">
      <c r="A27" s="8" t="s">
        <v>25</v>
      </c>
    </row>
    <row r="28" customFormat="false" ht="27.75" hidden="false" customHeight="true" outlineLevel="0" collapsed="false">
      <c r="A28" s="9" t="s">
        <v>26</v>
      </c>
      <c r="B28" s="9"/>
      <c r="C28" s="9"/>
      <c r="D28" s="9"/>
      <c r="E28" s="9"/>
    </row>
    <row r="29" customFormat="false" ht="27.75" hidden="false" customHeight="true" outlineLevel="0" collapsed="false">
      <c r="A29" s="9" t="s">
        <v>27</v>
      </c>
      <c r="B29" s="9"/>
      <c r="C29" s="9"/>
      <c r="D29" s="9"/>
      <c r="E29" s="9"/>
    </row>
    <row r="30" customFormat="false" ht="27.75" hidden="false" customHeight="true" outlineLevel="0" collapsed="false">
      <c r="A30" s="9" t="s">
        <v>28</v>
      </c>
      <c r="B30" s="9"/>
      <c r="C30" s="9"/>
      <c r="D30" s="9"/>
      <c r="E30" s="9"/>
    </row>
    <row r="31" customFormat="false" ht="27.75" hidden="false" customHeight="true" outlineLevel="0" collapsed="false">
      <c r="A31" s="9" t="s">
        <v>29</v>
      </c>
      <c r="B31" s="9"/>
      <c r="C31" s="9"/>
      <c r="D31" s="9"/>
      <c r="E31" s="9"/>
    </row>
  </sheetData>
  <mergeCells count="4">
    <mergeCell ref="A28:E28"/>
    <mergeCell ref="A29:E29"/>
    <mergeCell ref="A30:E30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6" min="5" style="0" width="34"/>
    <col collapsed="false" customWidth="true" hidden="false" outlineLevel="0" max="7" min="7" style="0" width="48"/>
    <col collapsed="false" customWidth="true" hidden="false" outlineLevel="0" max="8" min="8" style="0" width="30"/>
    <col collapsed="false" customWidth="true" hidden="false" outlineLevel="0" max="9" min="9" style="0" width="46"/>
    <col collapsed="false" customWidth="true" hidden="false" outlineLevel="0" max="10" min="10" style="0" width="50"/>
    <col collapsed="false" customWidth="true" hidden="false" outlineLevel="0" max="12" min="11" style="0" width="12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10" t="s">
        <v>31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customFormat="false" ht="27.75" hidden="false" customHeight="true" outlineLevel="0" collapsed="false">
      <c r="A4" s="11" t="s">
        <v>32</v>
      </c>
      <c r="B4" s="11" t="s">
        <v>10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1" t="s">
        <v>39</v>
      </c>
      <c r="J4" s="11" t="s">
        <v>40</v>
      </c>
      <c r="K4" s="11" t="s">
        <v>41</v>
      </c>
      <c r="L4" s="11" t="s">
        <v>42</v>
      </c>
      <c r="M4" s="11" t="s">
        <v>43</v>
      </c>
    </row>
    <row r="5" customFormat="false" ht="57.45" hidden="false" customHeight="false" outlineLevel="0" collapsed="false">
      <c r="A5" s="12" t="s">
        <v>44</v>
      </c>
      <c r="B5" s="13" t="s">
        <v>11</v>
      </c>
      <c r="C5" s="13" t="s">
        <v>45</v>
      </c>
      <c r="D5" s="13" t="s">
        <v>46</v>
      </c>
      <c r="E5" s="13" t="s">
        <v>47</v>
      </c>
      <c r="F5" s="13" t="s">
        <v>48</v>
      </c>
      <c r="G5" s="13" t="s">
        <v>49</v>
      </c>
      <c r="H5" s="13" t="s">
        <v>50</v>
      </c>
      <c r="I5" s="13" t="s">
        <v>51</v>
      </c>
      <c r="J5" s="13" t="s">
        <v>52</v>
      </c>
      <c r="K5" s="14" t="s">
        <v>5</v>
      </c>
      <c r="L5" s="13" t="s">
        <v>53</v>
      </c>
      <c r="M5" s="13" t="s">
        <v>54</v>
      </c>
    </row>
    <row r="6" customFormat="false" ht="46.25" hidden="false" customHeight="false" outlineLevel="0" collapsed="false">
      <c r="A6" s="12" t="s">
        <v>55</v>
      </c>
      <c r="B6" s="13" t="s">
        <v>11</v>
      </c>
      <c r="C6" s="13" t="s">
        <v>56</v>
      </c>
      <c r="D6" s="13" t="s">
        <v>46</v>
      </c>
      <c r="E6" s="13" t="s">
        <v>57</v>
      </c>
      <c r="F6" s="13" t="s">
        <v>58</v>
      </c>
      <c r="G6" s="13" t="s">
        <v>59</v>
      </c>
      <c r="H6" s="13" t="s">
        <v>60</v>
      </c>
      <c r="I6" s="13" t="s">
        <v>61</v>
      </c>
      <c r="J6" s="13" t="s">
        <v>62</v>
      </c>
      <c r="K6" s="14" t="s">
        <v>5</v>
      </c>
      <c r="L6" s="13" t="s">
        <v>53</v>
      </c>
      <c r="M6" s="13" t="s">
        <v>54</v>
      </c>
    </row>
    <row r="7" customFormat="false" ht="46.25" hidden="false" customHeight="false" outlineLevel="0" collapsed="false">
      <c r="A7" s="12" t="s">
        <v>63</v>
      </c>
      <c r="B7" s="13" t="s">
        <v>11</v>
      </c>
      <c r="C7" s="13" t="s">
        <v>64</v>
      </c>
      <c r="D7" s="13" t="s">
        <v>46</v>
      </c>
      <c r="E7" s="13" t="s">
        <v>65</v>
      </c>
      <c r="F7" s="13" t="s">
        <v>66</v>
      </c>
      <c r="G7" s="13" t="s">
        <v>67</v>
      </c>
      <c r="H7" s="13" t="s">
        <v>68</v>
      </c>
      <c r="I7" s="13" t="s">
        <v>69</v>
      </c>
      <c r="J7" s="13" t="s">
        <v>70</v>
      </c>
      <c r="K7" s="14" t="s">
        <v>5</v>
      </c>
      <c r="L7" s="13" t="s">
        <v>53</v>
      </c>
      <c r="M7" s="13" t="s">
        <v>54</v>
      </c>
    </row>
    <row r="8" customFormat="false" ht="35.05" hidden="false" customHeight="false" outlineLevel="0" collapsed="false">
      <c r="A8" s="12" t="s">
        <v>71</v>
      </c>
      <c r="B8" s="13" t="s">
        <v>12</v>
      </c>
      <c r="C8" s="13" t="s">
        <v>72</v>
      </c>
      <c r="D8" s="13" t="s">
        <v>46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4" t="s">
        <v>5</v>
      </c>
      <c r="L8" s="13" t="s">
        <v>53</v>
      </c>
      <c r="M8" s="13" t="s">
        <v>54</v>
      </c>
    </row>
    <row r="9" customFormat="false" ht="23.85" hidden="false" customHeight="false" outlineLevel="0" collapsed="false">
      <c r="A9" s="12" t="s">
        <v>79</v>
      </c>
      <c r="B9" s="13" t="s">
        <v>12</v>
      </c>
      <c r="C9" s="13" t="s">
        <v>80</v>
      </c>
      <c r="D9" s="13" t="s">
        <v>46</v>
      </c>
      <c r="E9" s="13" t="s">
        <v>81</v>
      </c>
      <c r="F9" s="13" t="s">
        <v>82</v>
      </c>
      <c r="G9" s="13" t="s">
        <v>83</v>
      </c>
      <c r="H9" s="13" t="s">
        <v>84</v>
      </c>
      <c r="I9" s="13" t="s">
        <v>85</v>
      </c>
      <c r="J9" s="13" t="s">
        <v>86</v>
      </c>
      <c r="K9" s="14" t="s">
        <v>5</v>
      </c>
      <c r="L9" s="13" t="s">
        <v>53</v>
      </c>
      <c r="M9" s="13" t="s">
        <v>54</v>
      </c>
    </row>
    <row r="10" customFormat="false" ht="46.25" hidden="false" customHeight="false" outlineLevel="0" collapsed="false">
      <c r="A10" s="12" t="s">
        <v>87</v>
      </c>
      <c r="B10" s="13" t="s">
        <v>12</v>
      </c>
      <c r="C10" s="13" t="s">
        <v>88</v>
      </c>
      <c r="D10" s="13" t="s">
        <v>46</v>
      </c>
      <c r="E10" s="13" t="s">
        <v>89</v>
      </c>
      <c r="F10" s="13" t="s">
        <v>90</v>
      </c>
      <c r="G10" s="13" t="s">
        <v>91</v>
      </c>
      <c r="H10" s="13" t="s">
        <v>92</v>
      </c>
      <c r="I10" s="13" t="s">
        <v>93</v>
      </c>
      <c r="J10" s="13" t="s">
        <v>94</v>
      </c>
      <c r="K10" s="14" t="s">
        <v>5</v>
      </c>
      <c r="L10" s="13" t="s">
        <v>53</v>
      </c>
      <c r="M10" s="13" t="s">
        <v>54</v>
      </c>
    </row>
    <row r="11" customFormat="false" ht="35.05" hidden="false" customHeight="false" outlineLevel="0" collapsed="false">
      <c r="A11" s="12" t="s">
        <v>95</v>
      </c>
      <c r="B11" s="13" t="s">
        <v>13</v>
      </c>
      <c r="C11" s="13" t="s">
        <v>96</v>
      </c>
      <c r="D11" s="13" t="s">
        <v>46</v>
      </c>
      <c r="E11" s="13" t="s">
        <v>97</v>
      </c>
      <c r="F11" s="13" t="s">
        <v>98</v>
      </c>
      <c r="G11" s="13" t="s">
        <v>99</v>
      </c>
      <c r="H11" s="13" t="s">
        <v>100</v>
      </c>
      <c r="I11" s="13" t="s">
        <v>101</v>
      </c>
      <c r="J11" s="13" t="s">
        <v>102</v>
      </c>
      <c r="K11" s="14" t="s">
        <v>5</v>
      </c>
      <c r="L11" s="13" t="s">
        <v>53</v>
      </c>
      <c r="M11" s="13" t="s">
        <v>54</v>
      </c>
    </row>
    <row r="12" customFormat="false" ht="46.25" hidden="false" customHeight="false" outlineLevel="0" collapsed="false">
      <c r="A12" s="12" t="s">
        <v>103</v>
      </c>
      <c r="B12" s="13" t="s">
        <v>13</v>
      </c>
      <c r="C12" s="13" t="s">
        <v>104</v>
      </c>
      <c r="D12" s="13" t="s">
        <v>46</v>
      </c>
      <c r="E12" s="13" t="s">
        <v>105</v>
      </c>
      <c r="F12" s="13" t="s">
        <v>106</v>
      </c>
      <c r="G12" s="13" t="s">
        <v>107</v>
      </c>
      <c r="H12" s="13" t="s">
        <v>108</v>
      </c>
      <c r="I12" s="13" t="s">
        <v>109</v>
      </c>
      <c r="J12" s="13" t="s">
        <v>110</v>
      </c>
      <c r="K12" s="14" t="s">
        <v>5</v>
      </c>
      <c r="L12" s="13" t="s">
        <v>53</v>
      </c>
      <c r="M12" s="13" t="s">
        <v>54</v>
      </c>
    </row>
    <row r="13" customFormat="false" ht="35.05" hidden="false" customHeight="false" outlineLevel="0" collapsed="false">
      <c r="A13" s="12" t="s">
        <v>111</v>
      </c>
      <c r="B13" s="13" t="s">
        <v>14</v>
      </c>
      <c r="C13" s="13" t="s">
        <v>112</v>
      </c>
      <c r="D13" s="13" t="s">
        <v>46</v>
      </c>
      <c r="E13" s="13" t="s">
        <v>113</v>
      </c>
      <c r="F13" s="13" t="s">
        <v>114</v>
      </c>
      <c r="G13" s="13" t="s">
        <v>115</v>
      </c>
      <c r="H13" s="13" t="s">
        <v>116</v>
      </c>
      <c r="I13" s="13" t="s">
        <v>117</v>
      </c>
      <c r="J13" s="13" t="s">
        <v>118</v>
      </c>
      <c r="K13" s="14" t="s">
        <v>5</v>
      </c>
      <c r="L13" s="13" t="s">
        <v>53</v>
      </c>
      <c r="M13" s="13" t="s">
        <v>54</v>
      </c>
    </row>
    <row r="14" customFormat="false" ht="35.05" hidden="false" customHeight="false" outlineLevel="0" collapsed="false">
      <c r="A14" s="12" t="s">
        <v>119</v>
      </c>
      <c r="B14" s="13" t="s">
        <v>14</v>
      </c>
      <c r="C14" s="13" t="s">
        <v>120</v>
      </c>
      <c r="D14" s="13" t="s">
        <v>121</v>
      </c>
      <c r="E14" s="13" t="s">
        <v>122</v>
      </c>
      <c r="F14" s="13" t="s">
        <v>123</v>
      </c>
      <c r="G14" s="13" t="s">
        <v>124</v>
      </c>
      <c r="H14" s="13" t="s">
        <v>125</v>
      </c>
      <c r="I14" s="13" t="s">
        <v>126</v>
      </c>
      <c r="J14" s="13" t="s">
        <v>127</v>
      </c>
      <c r="K14" s="14" t="s">
        <v>5</v>
      </c>
      <c r="L14" s="13" t="s">
        <v>53</v>
      </c>
      <c r="M14" s="13" t="s">
        <v>54</v>
      </c>
    </row>
    <row r="15" customFormat="false" ht="46.25" hidden="false" customHeight="false" outlineLevel="0" collapsed="false">
      <c r="A15" s="12" t="s">
        <v>128</v>
      </c>
      <c r="B15" s="13" t="s">
        <v>14</v>
      </c>
      <c r="C15" s="13" t="s">
        <v>129</v>
      </c>
      <c r="D15" s="13" t="s">
        <v>121</v>
      </c>
      <c r="E15" s="13" t="s">
        <v>130</v>
      </c>
      <c r="F15" s="13" t="s">
        <v>131</v>
      </c>
      <c r="G15" s="13" t="s">
        <v>132</v>
      </c>
      <c r="H15" s="13" t="s">
        <v>133</v>
      </c>
      <c r="I15" s="13" t="s">
        <v>134</v>
      </c>
      <c r="J15" s="13" t="s">
        <v>135</v>
      </c>
      <c r="K15" s="14" t="s">
        <v>5</v>
      </c>
      <c r="L15" s="13" t="s">
        <v>53</v>
      </c>
      <c r="M15" s="13" t="s">
        <v>54</v>
      </c>
    </row>
    <row r="16" customFormat="false" ht="46.25" hidden="false" customHeight="false" outlineLevel="0" collapsed="false">
      <c r="A16" s="12" t="s">
        <v>136</v>
      </c>
      <c r="B16" s="13" t="s">
        <v>14</v>
      </c>
      <c r="C16" s="13" t="s">
        <v>112</v>
      </c>
      <c r="D16" s="13" t="s">
        <v>121</v>
      </c>
      <c r="E16" s="13" t="s">
        <v>137</v>
      </c>
      <c r="F16" s="13" t="s">
        <v>123</v>
      </c>
      <c r="G16" s="13" t="s">
        <v>138</v>
      </c>
      <c r="H16" s="13" t="s">
        <v>139</v>
      </c>
      <c r="I16" s="13" t="s">
        <v>140</v>
      </c>
      <c r="J16" s="13" t="s">
        <v>141</v>
      </c>
      <c r="K16" s="14" t="s">
        <v>5</v>
      </c>
      <c r="L16" s="13" t="s">
        <v>53</v>
      </c>
      <c r="M16" s="13" t="s">
        <v>54</v>
      </c>
    </row>
    <row r="17" customFormat="false" ht="46.25" hidden="false" customHeight="false" outlineLevel="0" collapsed="false">
      <c r="A17" s="12" t="s">
        <v>142</v>
      </c>
      <c r="B17" s="13" t="s">
        <v>15</v>
      </c>
      <c r="C17" s="13" t="s">
        <v>143</v>
      </c>
      <c r="D17" s="13" t="s">
        <v>46</v>
      </c>
      <c r="E17" s="13" t="s">
        <v>144</v>
      </c>
      <c r="F17" s="13" t="s">
        <v>145</v>
      </c>
      <c r="G17" s="13" t="s">
        <v>146</v>
      </c>
      <c r="H17" s="13" t="s">
        <v>147</v>
      </c>
      <c r="I17" s="13" t="s">
        <v>148</v>
      </c>
      <c r="J17" s="13" t="s">
        <v>149</v>
      </c>
      <c r="K17" s="14" t="s">
        <v>5</v>
      </c>
      <c r="L17" s="13" t="s">
        <v>53</v>
      </c>
      <c r="M17" s="13" t="s">
        <v>54</v>
      </c>
    </row>
    <row r="18" customFormat="false" ht="46.25" hidden="false" customHeight="false" outlineLevel="0" collapsed="false">
      <c r="A18" s="12" t="s">
        <v>150</v>
      </c>
      <c r="B18" s="13" t="s">
        <v>15</v>
      </c>
      <c r="C18" s="13" t="s">
        <v>151</v>
      </c>
      <c r="D18" s="13" t="s">
        <v>46</v>
      </c>
      <c r="E18" s="13" t="s">
        <v>152</v>
      </c>
      <c r="F18" s="13" t="s">
        <v>153</v>
      </c>
      <c r="G18" s="13" t="s">
        <v>154</v>
      </c>
      <c r="H18" s="13" t="s">
        <v>155</v>
      </c>
      <c r="I18" s="13" t="s">
        <v>156</v>
      </c>
      <c r="J18" s="13" t="s">
        <v>157</v>
      </c>
      <c r="K18" s="14" t="s">
        <v>5</v>
      </c>
      <c r="L18" s="13" t="s">
        <v>53</v>
      </c>
      <c r="M18" s="13" t="s">
        <v>54</v>
      </c>
    </row>
    <row r="19" customFormat="false" ht="35.05" hidden="false" customHeight="false" outlineLevel="0" collapsed="false">
      <c r="A19" s="12" t="s">
        <v>158</v>
      </c>
      <c r="B19" s="13" t="s">
        <v>15</v>
      </c>
      <c r="C19" s="13" t="s">
        <v>159</v>
      </c>
      <c r="D19" s="13" t="s">
        <v>46</v>
      </c>
      <c r="E19" s="13" t="s">
        <v>160</v>
      </c>
      <c r="F19" s="13" t="s">
        <v>161</v>
      </c>
      <c r="G19" s="13" t="s">
        <v>162</v>
      </c>
      <c r="H19" s="13" t="s">
        <v>163</v>
      </c>
      <c r="I19" s="13" t="s">
        <v>164</v>
      </c>
      <c r="J19" s="13" t="s">
        <v>165</v>
      </c>
      <c r="K19" s="14" t="s">
        <v>5</v>
      </c>
      <c r="L19" s="13" t="s">
        <v>53</v>
      </c>
      <c r="M19" s="13" t="s">
        <v>54</v>
      </c>
    </row>
    <row r="20" customFormat="false" ht="57.45" hidden="false" customHeight="false" outlineLevel="0" collapsed="false">
      <c r="A20" s="12" t="s">
        <v>166</v>
      </c>
      <c r="B20" s="13" t="s">
        <v>15</v>
      </c>
      <c r="C20" s="13" t="s">
        <v>167</v>
      </c>
      <c r="D20" s="13" t="s">
        <v>121</v>
      </c>
      <c r="E20" s="13" t="s">
        <v>168</v>
      </c>
      <c r="F20" s="13" t="s">
        <v>169</v>
      </c>
      <c r="G20" s="13" t="s">
        <v>170</v>
      </c>
      <c r="H20" s="13" t="s">
        <v>171</v>
      </c>
      <c r="I20" s="13" t="s">
        <v>172</v>
      </c>
      <c r="J20" s="13" t="s">
        <v>173</v>
      </c>
      <c r="K20" s="14" t="s">
        <v>5</v>
      </c>
      <c r="L20" s="13" t="s">
        <v>53</v>
      </c>
      <c r="M20" s="13" t="s">
        <v>54</v>
      </c>
    </row>
    <row r="21" customFormat="false" ht="46.25" hidden="false" customHeight="false" outlineLevel="0" collapsed="false">
      <c r="A21" s="12" t="s">
        <v>174</v>
      </c>
      <c r="B21" s="13" t="s">
        <v>16</v>
      </c>
      <c r="C21" s="13" t="s">
        <v>175</v>
      </c>
      <c r="D21" s="13" t="s">
        <v>46</v>
      </c>
      <c r="E21" s="13" t="s">
        <v>176</v>
      </c>
      <c r="F21" s="13" t="s">
        <v>177</v>
      </c>
      <c r="G21" s="13" t="s">
        <v>178</v>
      </c>
      <c r="H21" s="13" t="s">
        <v>179</v>
      </c>
      <c r="I21" s="13" t="s">
        <v>180</v>
      </c>
      <c r="J21" s="13" t="s">
        <v>181</v>
      </c>
      <c r="K21" s="14" t="s">
        <v>5</v>
      </c>
      <c r="L21" s="13" t="s">
        <v>53</v>
      </c>
      <c r="M21" s="13" t="s">
        <v>54</v>
      </c>
    </row>
    <row r="22" customFormat="false" ht="35.05" hidden="false" customHeight="false" outlineLevel="0" collapsed="false">
      <c r="A22" s="12" t="s">
        <v>182</v>
      </c>
      <c r="B22" s="13" t="s">
        <v>16</v>
      </c>
      <c r="C22" s="13" t="s">
        <v>183</v>
      </c>
      <c r="D22" s="13" t="s">
        <v>46</v>
      </c>
      <c r="E22" s="13" t="s">
        <v>184</v>
      </c>
      <c r="F22" s="13" t="s">
        <v>185</v>
      </c>
      <c r="G22" s="13" t="s">
        <v>186</v>
      </c>
      <c r="H22" s="13" t="s">
        <v>187</v>
      </c>
      <c r="I22" s="13" t="s">
        <v>188</v>
      </c>
      <c r="J22" s="13" t="s">
        <v>189</v>
      </c>
      <c r="K22" s="14" t="s">
        <v>5</v>
      </c>
      <c r="L22" s="13" t="s">
        <v>53</v>
      </c>
      <c r="M22" s="13" t="s">
        <v>54</v>
      </c>
    </row>
    <row r="23" customFormat="false" ht="35.05" hidden="false" customHeight="false" outlineLevel="0" collapsed="false">
      <c r="A23" s="12" t="s">
        <v>190</v>
      </c>
      <c r="B23" s="13" t="s">
        <v>16</v>
      </c>
      <c r="C23" s="13" t="s">
        <v>191</v>
      </c>
      <c r="D23" s="13" t="s">
        <v>121</v>
      </c>
      <c r="E23" s="13" t="s">
        <v>192</v>
      </c>
      <c r="F23" s="13" t="s">
        <v>193</v>
      </c>
      <c r="G23" s="13" t="s">
        <v>194</v>
      </c>
      <c r="H23" s="13" t="s">
        <v>195</v>
      </c>
      <c r="I23" s="13" t="s">
        <v>196</v>
      </c>
      <c r="J23" s="13" t="s">
        <v>197</v>
      </c>
      <c r="K23" s="14" t="s">
        <v>5</v>
      </c>
      <c r="L23" s="13" t="s">
        <v>53</v>
      </c>
      <c r="M23" s="13" t="s">
        <v>54</v>
      </c>
    </row>
    <row r="24" customFormat="false" ht="35.05" hidden="false" customHeight="false" outlineLevel="0" collapsed="false">
      <c r="A24" s="12" t="s">
        <v>198</v>
      </c>
      <c r="B24" s="13" t="s">
        <v>16</v>
      </c>
      <c r="C24" s="13" t="s">
        <v>199</v>
      </c>
      <c r="D24" s="13" t="s">
        <v>121</v>
      </c>
      <c r="E24" s="13" t="s">
        <v>200</v>
      </c>
      <c r="F24" s="13" t="s">
        <v>201</v>
      </c>
      <c r="G24" s="13" t="s">
        <v>202</v>
      </c>
      <c r="H24" s="13" t="s">
        <v>203</v>
      </c>
      <c r="I24" s="13" t="s">
        <v>204</v>
      </c>
      <c r="J24" s="13" t="s">
        <v>205</v>
      </c>
      <c r="K24" s="14" t="s">
        <v>5</v>
      </c>
      <c r="L24" s="13" t="s">
        <v>53</v>
      </c>
      <c r="M24" s="13" t="s">
        <v>54</v>
      </c>
    </row>
    <row r="25" customFormat="false" ht="35.05" hidden="false" customHeight="false" outlineLevel="0" collapsed="false">
      <c r="A25" s="12" t="s">
        <v>206</v>
      </c>
      <c r="B25" s="13" t="s">
        <v>17</v>
      </c>
      <c r="C25" s="13" t="s">
        <v>207</v>
      </c>
      <c r="D25" s="13" t="s">
        <v>46</v>
      </c>
      <c r="E25" s="13" t="s">
        <v>208</v>
      </c>
      <c r="F25" s="13" t="s">
        <v>209</v>
      </c>
      <c r="G25" s="13" t="s">
        <v>210</v>
      </c>
      <c r="H25" s="13" t="s">
        <v>211</v>
      </c>
      <c r="I25" s="13" t="s">
        <v>212</v>
      </c>
      <c r="J25" s="13" t="s">
        <v>213</v>
      </c>
      <c r="K25" s="14" t="s">
        <v>5</v>
      </c>
      <c r="L25" s="13" t="s">
        <v>53</v>
      </c>
      <c r="M25" s="13" t="s">
        <v>54</v>
      </c>
    </row>
    <row r="26" customFormat="false" ht="35.05" hidden="false" customHeight="false" outlineLevel="0" collapsed="false">
      <c r="A26" s="12" t="s">
        <v>214</v>
      </c>
      <c r="B26" s="13" t="s">
        <v>17</v>
      </c>
      <c r="C26" s="13" t="s">
        <v>215</v>
      </c>
      <c r="D26" s="13" t="s">
        <v>46</v>
      </c>
      <c r="E26" s="13" t="s">
        <v>216</v>
      </c>
      <c r="F26" s="13" t="s">
        <v>217</v>
      </c>
      <c r="G26" s="13" t="s">
        <v>218</v>
      </c>
      <c r="H26" s="13" t="s">
        <v>219</v>
      </c>
      <c r="I26" s="13" t="s">
        <v>220</v>
      </c>
      <c r="J26" s="13" t="s">
        <v>221</v>
      </c>
      <c r="K26" s="14" t="s">
        <v>5</v>
      </c>
      <c r="L26" s="13" t="s">
        <v>53</v>
      </c>
      <c r="M26" s="13" t="s">
        <v>54</v>
      </c>
    </row>
    <row r="27" customFormat="false" ht="35.05" hidden="false" customHeight="false" outlineLevel="0" collapsed="false">
      <c r="A27" s="12" t="s">
        <v>222</v>
      </c>
      <c r="B27" s="13" t="s">
        <v>17</v>
      </c>
      <c r="C27" s="13" t="s">
        <v>223</v>
      </c>
      <c r="D27" s="13" t="s">
        <v>46</v>
      </c>
      <c r="E27" s="13" t="s">
        <v>224</v>
      </c>
      <c r="F27" s="13" t="s">
        <v>225</v>
      </c>
      <c r="G27" s="13" t="s">
        <v>226</v>
      </c>
      <c r="H27" s="13" t="s">
        <v>227</v>
      </c>
      <c r="I27" s="13" t="s">
        <v>228</v>
      </c>
      <c r="J27" s="13" t="s">
        <v>229</v>
      </c>
      <c r="K27" s="14" t="s">
        <v>5</v>
      </c>
      <c r="L27" s="13" t="s">
        <v>53</v>
      </c>
      <c r="M27" s="13" t="s">
        <v>54</v>
      </c>
    </row>
    <row r="28" customFormat="false" ht="35.05" hidden="false" customHeight="false" outlineLevel="0" collapsed="false">
      <c r="A28" s="12" t="s">
        <v>230</v>
      </c>
      <c r="B28" s="13" t="s">
        <v>17</v>
      </c>
      <c r="C28" s="13" t="s">
        <v>231</v>
      </c>
      <c r="D28" s="13" t="s">
        <v>46</v>
      </c>
      <c r="E28" s="13" t="s">
        <v>232</v>
      </c>
      <c r="F28" s="13" t="s">
        <v>233</v>
      </c>
      <c r="G28" s="13" t="s">
        <v>234</v>
      </c>
      <c r="H28" s="13" t="s">
        <v>235</v>
      </c>
      <c r="I28" s="13" t="s">
        <v>236</v>
      </c>
      <c r="J28" s="13" t="s">
        <v>237</v>
      </c>
      <c r="K28" s="14" t="s">
        <v>5</v>
      </c>
      <c r="L28" s="13" t="s">
        <v>53</v>
      </c>
      <c r="M28" s="13" t="s">
        <v>54</v>
      </c>
    </row>
    <row r="29" customFormat="false" ht="23.85" hidden="false" customHeight="false" outlineLevel="0" collapsed="false">
      <c r="A29" s="12" t="s">
        <v>238</v>
      </c>
      <c r="B29" s="13" t="s">
        <v>17</v>
      </c>
      <c r="C29" s="13" t="s">
        <v>239</v>
      </c>
      <c r="D29" s="13" t="s">
        <v>121</v>
      </c>
      <c r="E29" s="13" t="s">
        <v>240</v>
      </c>
      <c r="F29" s="13" t="s">
        <v>241</v>
      </c>
      <c r="G29" s="13" t="s">
        <v>242</v>
      </c>
      <c r="H29" s="13" t="s">
        <v>243</v>
      </c>
      <c r="I29" s="13" t="s">
        <v>244</v>
      </c>
      <c r="J29" s="13" t="s">
        <v>245</v>
      </c>
      <c r="K29" s="14" t="s">
        <v>5</v>
      </c>
      <c r="L29" s="13" t="s">
        <v>53</v>
      </c>
      <c r="M29" s="13" t="s">
        <v>54</v>
      </c>
    </row>
    <row r="30" customFormat="false" ht="35.05" hidden="false" customHeight="false" outlineLevel="0" collapsed="false">
      <c r="A30" s="12" t="s">
        <v>246</v>
      </c>
      <c r="B30" s="13" t="s">
        <v>18</v>
      </c>
      <c r="C30" s="13" t="s">
        <v>199</v>
      </c>
      <c r="D30" s="13" t="s">
        <v>121</v>
      </c>
      <c r="E30" s="13" t="s">
        <v>247</v>
      </c>
      <c r="F30" s="13" t="s">
        <v>248</v>
      </c>
      <c r="G30" s="13" t="s">
        <v>249</v>
      </c>
      <c r="H30" s="13" t="s">
        <v>250</v>
      </c>
      <c r="I30" s="13" t="s">
        <v>251</v>
      </c>
      <c r="J30" s="13" t="s">
        <v>252</v>
      </c>
      <c r="K30" s="14" t="s">
        <v>5</v>
      </c>
      <c r="L30" s="13" t="s">
        <v>53</v>
      </c>
      <c r="M30" s="13" t="s">
        <v>54</v>
      </c>
    </row>
    <row r="31" customFormat="false" ht="35.05" hidden="false" customHeight="false" outlineLevel="0" collapsed="false">
      <c r="A31" s="12" t="s">
        <v>253</v>
      </c>
      <c r="B31" s="13" t="s">
        <v>19</v>
      </c>
      <c r="C31" s="13" t="s">
        <v>254</v>
      </c>
      <c r="D31" s="13" t="s">
        <v>46</v>
      </c>
      <c r="E31" s="13" t="s">
        <v>255</v>
      </c>
      <c r="F31" s="13" t="s">
        <v>256</v>
      </c>
      <c r="G31" s="13" t="s">
        <v>257</v>
      </c>
      <c r="H31" s="13" t="s">
        <v>258</v>
      </c>
      <c r="I31" s="13" t="s">
        <v>259</v>
      </c>
      <c r="J31" s="13" t="s">
        <v>260</v>
      </c>
      <c r="K31" s="14" t="s">
        <v>5</v>
      </c>
      <c r="L31" s="13" t="s">
        <v>53</v>
      </c>
      <c r="M31" s="13" t="s">
        <v>54</v>
      </c>
    </row>
    <row r="32" customFormat="false" ht="23.85" hidden="false" customHeight="false" outlineLevel="0" collapsed="false">
      <c r="A32" s="12" t="s">
        <v>261</v>
      </c>
      <c r="B32" s="13" t="s">
        <v>19</v>
      </c>
      <c r="C32" s="13" t="s">
        <v>262</v>
      </c>
      <c r="D32" s="13" t="s">
        <v>46</v>
      </c>
      <c r="E32" s="13" t="s">
        <v>263</v>
      </c>
      <c r="F32" s="13" t="s">
        <v>264</v>
      </c>
      <c r="G32" s="13" t="s">
        <v>265</v>
      </c>
      <c r="H32" s="13" t="s">
        <v>266</v>
      </c>
      <c r="I32" s="13" t="s">
        <v>267</v>
      </c>
      <c r="J32" s="13" t="s">
        <v>268</v>
      </c>
      <c r="K32" s="14" t="s">
        <v>5</v>
      </c>
      <c r="L32" s="13" t="s">
        <v>53</v>
      </c>
      <c r="M32" s="13" t="s">
        <v>54</v>
      </c>
    </row>
    <row r="33" customFormat="false" ht="23.85" hidden="false" customHeight="false" outlineLevel="0" collapsed="false">
      <c r="A33" s="12" t="s">
        <v>269</v>
      </c>
      <c r="B33" s="13" t="s">
        <v>19</v>
      </c>
      <c r="C33" s="13" t="s">
        <v>270</v>
      </c>
      <c r="D33" s="13" t="s">
        <v>46</v>
      </c>
      <c r="E33" s="13" t="s">
        <v>271</v>
      </c>
      <c r="F33" s="13" t="s">
        <v>272</v>
      </c>
      <c r="G33" s="13" t="s">
        <v>273</v>
      </c>
      <c r="H33" s="13" t="s">
        <v>274</v>
      </c>
      <c r="I33" s="13" t="s">
        <v>275</v>
      </c>
      <c r="J33" s="13" t="s">
        <v>276</v>
      </c>
      <c r="K33" s="14" t="s">
        <v>5</v>
      </c>
      <c r="L33" s="13" t="s">
        <v>53</v>
      </c>
      <c r="M33" s="13" t="s">
        <v>54</v>
      </c>
    </row>
    <row r="34" customFormat="false" ht="46.25" hidden="false" customHeight="false" outlineLevel="0" collapsed="false">
      <c r="A34" s="12" t="s">
        <v>277</v>
      </c>
      <c r="B34" s="13" t="s">
        <v>19</v>
      </c>
      <c r="C34" s="13" t="s">
        <v>120</v>
      </c>
      <c r="D34" s="13" t="s">
        <v>121</v>
      </c>
      <c r="E34" s="13" t="s">
        <v>278</v>
      </c>
      <c r="F34" s="13" t="s">
        <v>279</v>
      </c>
      <c r="G34" s="13" t="s">
        <v>280</v>
      </c>
      <c r="H34" s="13" t="s">
        <v>281</v>
      </c>
      <c r="I34" s="13" t="s">
        <v>282</v>
      </c>
      <c r="J34" s="13" t="s">
        <v>283</v>
      </c>
      <c r="K34" s="14" t="s">
        <v>5</v>
      </c>
      <c r="L34" s="13" t="s">
        <v>53</v>
      </c>
      <c r="M34" s="13" t="s">
        <v>54</v>
      </c>
    </row>
    <row r="35" customFormat="false" ht="35.05" hidden="false" customHeight="false" outlineLevel="0" collapsed="false">
      <c r="A35" s="12" t="s">
        <v>284</v>
      </c>
      <c r="B35" s="13" t="s">
        <v>19</v>
      </c>
      <c r="C35" s="13" t="s">
        <v>285</v>
      </c>
      <c r="D35" s="13" t="s">
        <v>121</v>
      </c>
      <c r="E35" s="13" t="s">
        <v>286</v>
      </c>
      <c r="F35" s="13" t="s">
        <v>287</v>
      </c>
      <c r="G35" s="13" t="s">
        <v>288</v>
      </c>
      <c r="H35" s="13" t="s">
        <v>289</v>
      </c>
      <c r="I35" s="13" t="s">
        <v>290</v>
      </c>
      <c r="J35" s="13" t="s">
        <v>291</v>
      </c>
      <c r="K35" s="14" t="s">
        <v>5</v>
      </c>
      <c r="L35" s="13" t="s">
        <v>53</v>
      </c>
      <c r="M35" s="13" t="s">
        <v>54</v>
      </c>
    </row>
    <row r="36" customFormat="false" ht="46.25" hidden="false" customHeight="false" outlineLevel="0" collapsed="false">
      <c r="A36" s="12" t="s">
        <v>292</v>
      </c>
      <c r="B36" s="13" t="s">
        <v>19</v>
      </c>
      <c r="C36" s="13" t="s">
        <v>293</v>
      </c>
      <c r="D36" s="13" t="s">
        <v>121</v>
      </c>
      <c r="E36" s="13" t="s">
        <v>294</v>
      </c>
      <c r="F36" s="13" t="s">
        <v>295</v>
      </c>
      <c r="G36" s="13" t="s">
        <v>296</v>
      </c>
      <c r="H36" s="13" t="s">
        <v>297</v>
      </c>
      <c r="I36" s="13" t="s">
        <v>298</v>
      </c>
      <c r="J36" s="13" t="s">
        <v>299</v>
      </c>
      <c r="K36" s="14" t="s">
        <v>5</v>
      </c>
      <c r="L36" s="13" t="s">
        <v>53</v>
      </c>
      <c r="M36" s="13" t="s">
        <v>54</v>
      </c>
    </row>
    <row r="37" customFormat="false" ht="35.05" hidden="false" customHeight="false" outlineLevel="0" collapsed="false">
      <c r="A37" s="12" t="s">
        <v>300</v>
      </c>
      <c r="B37" s="13" t="s">
        <v>20</v>
      </c>
      <c r="C37" s="13" t="s">
        <v>301</v>
      </c>
      <c r="D37" s="13" t="s">
        <v>121</v>
      </c>
      <c r="E37" s="13" t="s">
        <v>302</v>
      </c>
      <c r="F37" s="13" t="s">
        <v>303</v>
      </c>
      <c r="G37" s="13" t="s">
        <v>304</v>
      </c>
      <c r="H37" s="13" t="s">
        <v>305</v>
      </c>
      <c r="I37" s="13" t="s">
        <v>306</v>
      </c>
      <c r="J37" s="13" t="s">
        <v>307</v>
      </c>
      <c r="K37" s="14" t="s">
        <v>5</v>
      </c>
      <c r="L37" s="13" t="s">
        <v>53</v>
      </c>
      <c r="M37" s="13" t="s">
        <v>54</v>
      </c>
    </row>
    <row r="38" customFormat="false" ht="46.25" hidden="false" customHeight="false" outlineLevel="0" collapsed="false">
      <c r="A38" s="12" t="s">
        <v>308</v>
      </c>
      <c r="B38" s="13" t="s">
        <v>20</v>
      </c>
      <c r="C38" s="13" t="s">
        <v>309</v>
      </c>
      <c r="D38" s="13" t="s">
        <v>121</v>
      </c>
      <c r="E38" s="13" t="s">
        <v>310</v>
      </c>
      <c r="F38" s="13" t="s">
        <v>311</v>
      </c>
      <c r="G38" s="13" t="s">
        <v>312</v>
      </c>
      <c r="H38" s="13" t="s">
        <v>313</v>
      </c>
      <c r="I38" s="13" t="s">
        <v>314</v>
      </c>
      <c r="J38" s="13" t="s">
        <v>315</v>
      </c>
      <c r="K38" s="14" t="s">
        <v>5</v>
      </c>
      <c r="L38" s="13" t="s">
        <v>53</v>
      </c>
      <c r="M38" s="13" t="s">
        <v>54</v>
      </c>
    </row>
    <row r="39" customFormat="false" ht="46.25" hidden="false" customHeight="false" outlineLevel="0" collapsed="false">
      <c r="A39" s="12" t="s">
        <v>316</v>
      </c>
      <c r="B39" s="13" t="s">
        <v>21</v>
      </c>
      <c r="C39" s="13" t="s">
        <v>317</v>
      </c>
      <c r="D39" s="13" t="s">
        <v>121</v>
      </c>
      <c r="E39" s="13" t="s">
        <v>318</v>
      </c>
      <c r="F39" s="13" t="s">
        <v>319</v>
      </c>
      <c r="G39" s="13" t="s">
        <v>320</v>
      </c>
      <c r="H39" s="13" t="s">
        <v>321</v>
      </c>
      <c r="I39" s="13" t="s">
        <v>322</v>
      </c>
      <c r="J39" s="13" t="s">
        <v>323</v>
      </c>
      <c r="K39" s="14" t="s">
        <v>5</v>
      </c>
      <c r="L39" s="13" t="s">
        <v>53</v>
      </c>
      <c r="M39" s="13" t="s">
        <v>54</v>
      </c>
    </row>
    <row r="40" customFormat="false" ht="46.25" hidden="false" customHeight="false" outlineLevel="0" collapsed="false">
      <c r="A40" s="12" t="s">
        <v>324</v>
      </c>
      <c r="B40" s="13" t="s">
        <v>22</v>
      </c>
      <c r="C40" s="13" t="s">
        <v>325</v>
      </c>
      <c r="D40" s="13" t="s">
        <v>121</v>
      </c>
      <c r="E40" s="13" t="s">
        <v>326</v>
      </c>
      <c r="F40" s="13" t="s">
        <v>327</v>
      </c>
      <c r="G40" s="13" t="s">
        <v>328</v>
      </c>
      <c r="H40" s="13" t="s">
        <v>329</v>
      </c>
      <c r="I40" s="13" t="s">
        <v>330</v>
      </c>
      <c r="J40" s="13" t="s">
        <v>331</v>
      </c>
      <c r="K40" s="14" t="s">
        <v>5</v>
      </c>
      <c r="L40" s="13" t="s">
        <v>53</v>
      </c>
      <c r="M40" s="13" t="s">
        <v>54</v>
      </c>
    </row>
    <row r="41" customFormat="false" ht="23.85" hidden="false" customHeight="false" outlineLevel="0" collapsed="false">
      <c r="A41" s="12" t="s">
        <v>332</v>
      </c>
      <c r="B41" s="13" t="s">
        <v>23</v>
      </c>
      <c r="C41" s="13" t="s">
        <v>333</v>
      </c>
      <c r="D41" s="13" t="s">
        <v>334</v>
      </c>
      <c r="E41" s="13" t="s">
        <v>335</v>
      </c>
      <c r="F41" s="13" t="s">
        <v>336</v>
      </c>
      <c r="G41" s="13" t="s">
        <v>337</v>
      </c>
      <c r="H41" s="13" t="s">
        <v>338</v>
      </c>
      <c r="I41" s="13" t="s">
        <v>339</v>
      </c>
      <c r="J41" s="13" t="s">
        <v>340</v>
      </c>
      <c r="K41" s="14" t="s">
        <v>5</v>
      </c>
      <c r="L41" s="13" t="s">
        <v>53</v>
      </c>
      <c r="M41" s="13" t="s">
        <v>54</v>
      </c>
    </row>
    <row r="42" customFormat="false" ht="46.25" hidden="false" customHeight="false" outlineLevel="0" collapsed="false">
      <c r="A42" s="12" t="s">
        <v>341</v>
      </c>
      <c r="B42" s="13" t="s">
        <v>24</v>
      </c>
      <c r="C42" s="13" t="s">
        <v>342</v>
      </c>
      <c r="D42" s="13" t="s">
        <v>121</v>
      </c>
      <c r="E42" s="13" t="s">
        <v>343</v>
      </c>
      <c r="F42" s="13" t="s">
        <v>344</v>
      </c>
      <c r="G42" s="13" t="s">
        <v>345</v>
      </c>
      <c r="H42" s="13" t="s">
        <v>346</v>
      </c>
      <c r="I42" s="13" t="s">
        <v>347</v>
      </c>
      <c r="J42" s="13" t="s">
        <v>348</v>
      </c>
      <c r="K42" s="14" t="s">
        <v>5</v>
      </c>
      <c r="L42" s="13" t="s">
        <v>53</v>
      </c>
      <c r="M42" s="13" t="s">
        <v>54</v>
      </c>
    </row>
  </sheetData>
  <autoFilter ref="A4:M42"/>
  <mergeCells count="1">
    <mergeCell ref="A2:M2"/>
  </mergeCells>
  <conditionalFormatting sqref="K5:K42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"Not Executed"</formula>
    </cfRule>
  </conditionalFormatting>
  <dataValidations count="1">
    <dataValidation allowBlank="false" errorStyle="stop" operator="between" showDropDown="false" showErrorMessage="false" showInputMessage="false" sqref="K5:K42" type="list">
      <formula1>"Pass,Fail,Not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349</v>
      </c>
    </row>
    <row r="3" customFormat="false" ht="15" hidden="false" customHeight="false" outlineLevel="0" collapsed="false">
      <c r="A3" s="3" t="s">
        <v>350</v>
      </c>
      <c r="B3" s="3" t="s">
        <v>351</v>
      </c>
      <c r="C3" s="3" t="s">
        <v>352</v>
      </c>
    </row>
    <row r="4" customFormat="false" ht="15" hidden="false" customHeight="false" outlineLevel="0" collapsed="false">
      <c r="A4" s="13" t="s">
        <v>353</v>
      </c>
      <c r="B4" s="13" t="s">
        <v>354</v>
      </c>
      <c r="C4" s="13" t="s">
        <v>355</v>
      </c>
    </row>
    <row r="5" customFormat="false" ht="15" hidden="false" customHeight="false" outlineLevel="0" collapsed="false">
      <c r="A5" s="13" t="s">
        <v>356</v>
      </c>
      <c r="B5" s="13" t="s">
        <v>357</v>
      </c>
      <c r="C5" s="13" t="s">
        <v>358</v>
      </c>
    </row>
    <row r="6" customFormat="false" ht="15" hidden="false" customHeight="false" outlineLevel="0" collapsed="false">
      <c r="A6" s="13" t="s">
        <v>359</v>
      </c>
      <c r="B6" s="13" t="s">
        <v>360</v>
      </c>
      <c r="C6" s="13" t="s">
        <v>103</v>
      </c>
    </row>
    <row r="7" customFormat="false" ht="15" hidden="false" customHeight="false" outlineLevel="0" collapsed="false">
      <c r="A7" s="13" t="s">
        <v>129</v>
      </c>
      <c r="B7" s="13" t="s">
        <v>361</v>
      </c>
      <c r="C7" s="13" t="s">
        <v>362</v>
      </c>
    </row>
    <row r="8" customFormat="false" ht="15" hidden="false" customHeight="false" outlineLevel="0" collapsed="false">
      <c r="A8" s="13" t="s">
        <v>151</v>
      </c>
      <c r="B8" s="13" t="s">
        <v>363</v>
      </c>
      <c r="C8" s="13" t="s">
        <v>364</v>
      </c>
    </row>
    <row r="9" customFormat="false" ht="15" hidden="false" customHeight="false" outlineLevel="0" collapsed="false">
      <c r="A9" s="13" t="s">
        <v>183</v>
      </c>
      <c r="B9" s="13" t="s">
        <v>365</v>
      </c>
      <c r="C9" s="13" t="s">
        <v>366</v>
      </c>
    </row>
    <row r="10" customFormat="false" ht="15" hidden="false" customHeight="false" outlineLevel="0" collapsed="false">
      <c r="A10" s="13" t="s">
        <v>367</v>
      </c>
      <c r="B10" s="13" t="s">
        <v>368</v>
      </c>
      <c r="C10" s="13" t="s">
        <v>230</v>
      </c>
    </row>
    <row r="11" customFormat="false" ht="15" hidden="false" customHeight="false" outlineLevel="0" collapsed="false">
      <c r="A11" s="13" t="s">
        <v>369</v>
      </c>
      <c r="B11" s="13" t="s">
        <v>370</v>
      </c>
      <c r="C11" s="13" t="s">
        <v>371</v>
      </c>
    </row>
    <row r="12" customFormat="false" ht="15" hidden="false" customHeight="false" outlineLevel="0" collapsed="false">
      <c r="A12" s="13" t="s">
        <v>120</v>
      </c>
      <c r="B12" s="13" t="s">
        <v>372</v>
      </c>
      <c r="C12" s="13" t="s">
        <v>373</v>
      </c>
    </row>
    <row r="13" customFormat="false" ht="15" hidden="false" customHeight="false" outlineLevel="0" collapsed="false">
      <c r="A13" s="13" t="s">
        <v>191</v>
      </c>
      <c r="B13" s="13" t="s">
        <v>374</v>
      </c>
      <c r="C13" s="13" t="s">
        <v>375</v>
      </c>
    </row>
    <row r="14" customFormat="false" ht="15" hidden="false" customHeight="false" outlineLevel="0" collapsed="false">
      <c r="A14" s="13" t="s">
        <v>376</v>
      </c>
      <c r="B14" s="13" t="s">
        <v>377</v>
      </c>
      <c r="C14" s="13" t="s">
        <v>95</v>
      </c>
    </row>
    <row r="15" customFormat="false" ht="15" hidden="false" customHeight="false" outlineLevel="0" collapsed="false">
      <c r="A15" s="13" t="s">
        <v>378</v>
      </c>
      <c r="B15" s="13" t="s">
        <v>379</v>
      </c>
      <c r="C15" s="13" t="s">
        <v>269</v>
      </c>
    </row>
    <row r="16" customFormat="false" ht="15" hidden="false" customHeight="false" outlineLevel="0" collapsed="false">
      <c r="A16" s="13" t="s">
        <v>380</v>
      </c>
      <c r="B16" s="13" t="s">
        <v>381</v>
      </c>
      <c r="C16" s="13" t="s">
        <v>284</v>
      </c>
    </row>
    <row r="17" customFormat="false" ht="15" hidden="false" customHeight="false" outlineLevel="0" collapsed="false">
      <c r="A17" s="13" t="s">
        <v>382</v>
      </c>
      <c r="B17" s="13" t="s">
        <v>383</v>
      </c>
      <c r="C17" s="13" t="s">
        <v>174</v>
      </c>
    </row>
    <row r="18" customFormat="false" ht="15" hidden="false" customHeight="false" outlineLevel="0" collapsed="false">
      <c r="A18" s="13" t="s">
        <v>384</v>
      </c>
      <c r="B18" s="13" t="s">
        <v>385</v>
      </c>
      <c r="C18" s="13" t="s">
        <v>300</v>
      </c>
    </row>
    <row r="19" customFormat="false" ht="15" hidden="false" customHeight="false" outlineLevel="0" collapsed="false">
      <c r="A19" s="13" t="s">
        <v>333</v>
      </c>
      <c r="B19" s="13" t="s">
        <v>386</v>
      </c>
      <c r="C19" s="13" t="s">
        <v>332</v>
      </c>
    </row>
    <row r="20" customFormat="false" ht="15" hidden="false" customHeight="false" outlineLevel="0" collapsed="false">
      <c r="A20" s="13" t="s">
        <v>387</v>
      </c>
      <c r="B20" s="13" t="s">
        <v>388</v>
      </c>
      <c r="C20" s="13" t="s">
        <v>389</v>
      </c>
    </row>
    <row r="21" customFormat="false" ht="15" hidden="false" customHeight="false" outlineLevel="0" collapsed="false">
      <c r="A21" s="13" t="s">
        <v>342</v>
      </c>
      <c r="B21" s="13" t="s">
        <v>24</v>
      </c>
      <c r="C21" s="13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2026-10-16T16:22:36Z</dcterms:created>
  <dc:creator>openpyxl</dc:creator>
  <dc:description/>
  <dc:language>en-US</dc:language>
  <cp:lastModifiedBy/>
  <dcterms:modified xsi:type="dcterms:W3CDTF">2026-10-16T16:22:36Z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